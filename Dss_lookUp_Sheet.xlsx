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egiscloud-my.sharepoint.com/personal/balapati_teksystems_com1/Documents/"/>
    </mc:Choice>
  </mc:AlternateContent>
  <xr:revisionPtr revIDLastSave="1051" documentId="8_{B710E762-E453-43F2-962B-B758606AFCEE}" xr6:coauthVersionLast="47" xr6:coauthVersionMax="47" xr10:uidLastSave="{08320FA2-8194-41E3-ADEE-9D5F98D5CD62}"/>
  <bookViews>
    <workbookView xWindow="-120" yWindow="-120" windowWidth="20730" windowHeight="11040" xr2:uid="{A43E015F-4BF7-4B72-9F70-B7BD20184CC6}"/>
  </bookViews>
  <sheets>
    <sheet name="LookUp Sheet" sheetId="11" r:id="rId1"/>
    <sheet name="Formulas" sheetId="12" r:id="rId2"/>
    <sheet name="Datalake" sheetId="9" r:id="rId3"/>
    <sheet name="Base" sheetId="3" r:id="rId4"/>
    <sheet name="Master" sheetId="8" r:id="rId5"/>
  </sheets>
  <definedNames>
    <definedName name="LookUpFinalOption">'LookUp Sheet'!$B$3</definedName>
    <definedName name="TableName">'LookUp Sheet'!$B$6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2" l="1" a="1"/>
  <c r="K6" i="12" s="1"/>
  <c r="K7" i="12" a="1"/>
  <c r="K7" i="12" s="1"/>
  <c r="K8" i="12" a="1"/>
  <c r="K8" i="12" s="1"/>
  <c r="K9" i="12" a="1"/>
  <c r="K9" i="12"/>
  <c r="K10" i="12" a="1"/>
  <c r="K10" i="12" s="1"/>
  <c r="K11" i="12" a="1"/>
  <c r="K11" i="12" s="1"/>
  <c r="K12" i="12" a="1"/>
  <c r="K12" i="12" s="1"/>
  <c r="K13" i="12" a="1"/>
  <c r="K13" i="12"/>
  <c r="K14" i="12" a="1"/>
  <c r="K14" i="12" s="1"/>
  <c r="K15" i="12" a="1"/>
  <c r="K15" i="12" s="1"/>
  <c r="K16" i="12" a="1"/>
  <c r="K16" i="12" s="1"/>
  <c r="K17" i="12" a="1"/>
  <c r="K17" i="12"/>
  <c r="K18" i="12" a="1"/>
  <c r="K18" i="12" s="1"/>
  <c r="D14" i="11"/>
  <c r="D11" i="11"/>
  <c r="J6" i="12" a="1"/>
  <c r="J6" i="12" s="1"/>
  <c r="J7" i="12" a="1"/>
  <c r="J7" i="12" s="1"/>
  <c r="J8" i="12" a="1"/>
  <c r="J8" i="12" s="1"/>
  <c r="J9" i="12" a="1"/>
  <c r="J9" i="12"/>
  <c r="J10" i="12" a="1"/>
  <c r="J10" i="12" s="1"/>
  <c r="J11" i="12" a="1"/>
  <c r="J11" i="12" s="1"/>
  <c r="J12" i="12" a="1"/>
  <c r="J12" i="12" s="1"/>
  <c r="J13" i="12" a="1"/>
  <c r="J13" i="12"/>
  <c r="J14" i="12" a="1"/>
  <c r="J14" i="12" s="1"/>
  <c r="J15" i="12" a="1"/>
  <c r="J15" i="12" s="1"/>
  <c r="J16" i="12" a="1"/>
  <c r="J16" i="12" s="1"/>
  <c r="J17" i="12" a="1"/>
  <c r="J17" i="12"/>
  <c r="J18" i="12" a="1"/>
  <c r="J18" i="12" s="1"/>
  <c r="D6" i="11" a="1"/>
  <c r="D6" i="11" s="1"/>
  <c r="B7" i="12" s="1"/>
  <c r="G1" i="12" s="1" a="1"/>
  <c r="K2" i="12" s="1" a="1"/>
  <c r="K2" i="12" s="1"/>
  <c r="I6" i="12" a="1"/>
  <c r="I6" i="12" s="1"/>
  <c r="I7" i="12" a="1"/>
  <c r="I7" i="12" s="1"/>
  <c r="I8" i="12" a="1"/>
  <c r="I8" i="12"/>
  <c r="I9" i="12" a="1"/>
  <c r="I9" i="12"/>
  <c r="I10" i="12" a="1"/>
  <c r="I10" i="12" s="1"/>
  <c r="I11" i="12" a="1"/>
  <c r="I11" i="12" s="1"/>
  <c r="I12" i="12" a="1"/>
  <c r="I12" i="12"/>
  <c r="I13" i="12" a="1"/>
  <c r="I13" i="12"/>
  <c r="I14" i="12" a="1"/>
  <c r="I14" i="12" s="1"/>
  <c r="I15" i="12" a="1"/>
  <c r="I15" i="12" s="1"/>
  <c r="I16" i="12" a="1"/>
  <c r="I16" i="12"/>
  <c r="I17" i="12" a="1"/>
  <c r="I17" i="12"/>
  <c r="I18" i="12" a="1"/>
  <c r="I18" i="12" s="1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E17" i="11" a="1"/>
  <c r="E17" i="11" s="1"/>
  <c r="D17" i="11" a="1"/>
  <c r="D17" i="11" s="1"/>
  <c r="E6" i="11" a="1"/>
  <c r="E6" i="11" s="1"/>
  <c r="F11" i="11" a="1"/>
  <c r="F11" i="11" s="1"/>
  <c r="F14" i="11" a="1"/>
  <c r="F14" i="11" s="1"/>
  <c r="J5" i="12" l="1" a="1"/>
  <c r="J5" i="12" s="1"/>
  <c r="J4" i="12" a="1"/>
  <c r="J4" i="12" s="1"/>
  <c r="J3" i="12" a="1"/>
  <c r="J3" i="12" s="1"/>
  <c r="J2" i="12" a="1"/>
  <c r="J2" i="12" s="1"/>
  <c r="K5" i="12" a="1"/>
  <c r="K5" i="12" s="1"/>
  <c r="K4" i="12" a="1"/>
  <c r="K4" i="12" s="1"/>
  <c r="K3" i="12" a="1"/>
  <c r="K3" i="12" s="1"/>
  <c r="G1" i="12"/>
  <c r="I2" i="12" a="1"/>
  <c r="I2" i="12" s="1"/>
  <c r="I3" i="12" a="1"/>
  <c r="I3" i="12" s="1"/>
  <c r="H3" i="12"/>
  <c r="H2" i="12"/>
  <c r="I5" i="12" a="1"/>
  <c r="I5" i="12" s="1"/>
  <c r="H5" i="12"/>
  <c r="H4" i="12"/>
  <c r="I4" i="12" a="1"/>
  <c r="I4" i="12" s="1"/>
  <c r="I1" i="12" l="1" a="1"/>
  <c r="I1" i="12" s="1"/>
  <c r="B8" i="12" s="1" a="1"/>
  <c r="B8" i="12" s="1"/>
  <c r="H6" i="11" s="1"/>
  <c r="J1" i="12" a="1"/>
  <c r="J1" i="12" s="1"/>
  <c r="B11" i="12" s="1" a="1"/>
  <c r="B11" i="12" s="1"/>
  <c r="E11" i="11" s="1"/>
  <c r="K1" i="12" a="1"/>
  <c r="K1" i="12" s="1"/>
  <c r="B14" i="12" s="1" a="1"/>
  <c r="B14" i="12" s="1"/>
  <c r="E14" i="11" s="1"/>
  <c r="H1" i="1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<sst xmlns="http://schemas.openxmlformats.org/spreadsheetml/2006/main" count="895" uniqueCount="434">
  <si>
    <t>None</t>
  </si>
  <si>
    <t>DEO1098O_DSS_AWS_TBLCRATTENDANCE_TO_AWS_BASE_LOAD</t>
  </si>
  <si>
    <t>DEO1104O_DSS_AWS_TBLSTUDENTINFO_TO_AWS_BASE_LOAD</t>
  </si>
  <si>
    <t>DEO1071O_DSS_AWS_DATALAKE_TO_AWS_MASTER_MARKETING_LOAD</t>
  </si>
  <si>
    <t>DEO1152O_DSS_AWS_STUDENT_MASTER_TO_HDP</t>
  </si>
  <si>
    <t>/workspace/projects/dss/sh_scripts/dss_student_master.sh</t>
  </si>
  <si>
    <t>DEO1151O_DSS_STUDENT_MASTER_TO_AWS_MASTER_LOAD</t>
  </si>
  <si>
    <t>DEO1099O_DSS_AWS_TBLCRSESSIONS_TO_AWS_BASE_LOAD</t>
  </si>
  <si>
    <t>MCE1428O_DSS_MktgFile_AWS_TO_Hadoop</t>
  </si>
  <si>
    <t>/workspace/projects/dss/sh_scripts/marketing_sftp.sh</t>
  </si>
  <si>
    <t>DEO1100O_DSS_AWS_TBLHIGHSCHOOL_TO_AWS_BASE_LOAD</t>
  </si>
  <si>
    <t>DEO1103O_DSS_AWS_TBLPACKAGEINFO_TO_AWS_BASE_LOAD</t>
  </si>
  <si>
    <t>DEO1105O_DSS_AWS_TBLPACKAGELOCATIONS_TO_AWS_BASE_LOAD</t>
  </si>
  <si>
    <t>DEO1106O_DSS_AWS_TBLPACKAGEPRODUCTS_TO_AWS_BASE_LOAD</t>
  </si>
  <si>
    <t>DEO1107O_DSS_AWS_TBLPRODUCTINFO_TO_AWS_BASE_LOAD</t>
  </si>
  <si>
    <t>DEO1108O_DSS_AWS_TBLSTAFFINFO_TO_AWS_BASE_LOAD</t>
  </si>
  <si>
    <t>DEO1109O_DSS_AWS_TBLSTUDENTENROLLMENT_TO_AWS_BASE_LOAD</t>
  </si>
  <si>
    <t>DEO1110O_DSS_AWS_TBLVEHICLEINFO_TO_AWS_BASE_LOAD</t>
  </si>
  <si>
    <t>DEO1111O_DSS_AWS_MSTADJUSTMENTTYPES_TO_AWS_BASE_LOAD</t>
  </si>
  <si>
    <t>DEO1112O_DSS_AWS_MSTAPPOINTMENTSTATUS_TO_AWS_BASE_LOAD</t>
  </si>
  <si>
    <t>DEO1113O_DSS_AWS_MSTCLASSROOMSESSIONSTATUS_TO_AWS_BASE_LOAD</t>
  </si>
  <si>
    <t>DEO1114O_DSS_AWS_MSTCLASSROOMSTATUS_TO_AWS_BASE_LOAD</t>
  </si>
  <si>
    <t>DEO1115O_DSS_AWS_MSTCREDITCARDTYPES_TO_AWS_BASE_LOAD</t>
  </si>
  <si>
    <t>DEO1116O_DSS_AWS_MSTPAYMENTTYPES_TO_AWS_BASE_LOAD</t>
  </si>
  <si>
    <t>DEO1117O_DSS_AWS_MSTSTAFFSTATUS_TO_AWS_BASE_LOAD</t>
  </si>
  <si>
    <t>DEO1118O_DSS_AWS_MSTSTAFFTYPE_TO_AWS_BASE_LOAD</t>
  </si>
  <si>
    <t>DEO1119O_DSS_AWS_MSTSTUDENTSTATUS_TO_AWS_BASE_LOAD</t>
  </si>
  <si>
    <t>DEO1120O_DSS_AWS_MSTVEHICLESTATUS_TO_AWS_BASE_LOAD</t>
  </si>
  <si>
    <t>DEO1121O_DSS_AWS_MSTVEHICLETYPE_TO_AWS_BASE_LOAD</t>
  </si>
  <si>
    <t>DEO1122O_DSS_AWS_TBLAPPOINTMENTSINFO_TO_AWS_BASE_LOAD</t>
  </si>
  <si>
    <t>DEO1123O_DSS_AWS_TBLBILLINGINFO_TO_AWS_BASE_LOAD</t>
  </si>
  <si>
    <t>dss_caautoclubsocal201229_mstadjustmenttypes</t>
  </si>
  <si>
    <t>dss_caautoclubsocal201229_mstappointmentstatus</t>
  </si>
  <si>
    <t>dss_caautoclubsocal201229_mstclassroomsessionstatus</t>
  </si>
  <si>
    <t>dss_caautoclubsocal201229_mstclassroomstatus</t>
  </si>
  <si>
    <t>dss_caautoclubsocal201229_mstcreditcardtypes</t>
  </si>
  <si>
    <t>dss_caautoclubsocal201229_mstpaymenttypes</t>
  </si>
  <si>
    <t>dss_caautoclubsocal201229_mststaffstatus</t>
  </si>
  <si>
    <t>dss_caautoclubsocal201229_mststafftype</t>
  </si>
  <si>
    <t>dss_caautoclubsocal201229_mststudentstatus</t>
  </si>
  <si>
    <t>dss_caautoclubsocal201229_mstvehiclestatus</t>
  </si>
  <si>
    <t>dss_caautoclubsocal201229_mstvehicletype</t>
  </si>
  <si>
    <t>dss_caautoclubsocal201229_tblappointmentsinfo</t>
  </si>
  <si>
    <t>dss_caautoclubsocal201229_tblbillinginfo</t>
  </si>
  <si>
    <t>dss_caautoclubsocal201229_tblclassroom</t>
  </si>
  <si>
    <t>dss_caautoclubsocal201229_tblcrattendance</t>
  </si>
  <si>
    <t>dss_caautoclubsocal201229_tblcrsessions</t>
  </si>
  <si>
    <t>dss_caautoclubsocal201229_tblhighschool</t>
  </si>
  <si>
    <t>dss_caautoclubsocal201229_tblleads</t>
  </si>
  <si>
    <t>dss_caautoclubsocal201229_tbllocation</t>
  </si>
  <si>
    <t>dss_caautoclubsocal201229_tblpackageinfo</t>
  </si>
  <si>
    <t>dss_caautoclubsocal201229_tblpackagelocations</t>
  </si>
  <si>
    <t>dss_caautoclubsocal201229_tblpackageproducts</t>
  </si>
  <si>
    <t>dss_caautoclubsocal201229_tblproductinfo</t>
  </si>
  <si>
    <t>dss_caautoclubsocal201229_tblstaffinfo</t>
  </si>
  <si>
    <t>dss_caautoclubsocal201229_tblstudentenrollment</t>
  </si>
  <si>
    <t>dss_caautoclubsocal201229_tblstudentinfo</t>
  </si>
  <si>
    <t>dss_caautoclubsocal201229_tblvehicleinfo</t>
  </si>
  <si>
    <t>dss_caautoclubtexas210622_mstadjustmenttypes</t>
  </si>
  <si>
    <t>dss_caautoclubtexas210622_mstappointmentstatus</t>
  </si>
  <si>
    <t>dss_caautoclubtexas210622_mstclassroomsessionstatus</t>
  </si>
  <si>
    <t>dss_caautoclubtexas210622_mstclassroomstatus</t>
  </si>
  <si>
    <t>dss_caautoclubtexas210622_mstcreditcardtypes</t>
  </si>
  <si>
    <t>dss_caautoclubtexas210622_mstpaymenttypes</t>
  </si>
  <si>
    <t>dss_caautoclubtexas210622_mststaffstatus</t>
  </si>
  <si>
    <t>dss_caautoclubtexas210622_mststafftype</t>
  </si>
  <si>
    <t>dss_caautoclubtexas210622_mststudentstatus</t>
  </si>
  <si>
    <t>dss_caautoclubtexas210622_mstvehiclestatus</t>
  </si>
  <si>
    <t>dss_caautoclubtexas210622_mstvehicletype</t>
  </si>
  <si>
    <t>dss_caautoclubtexas210622_tblappointmentsinfo</t>
  </si>
  <si>
    <t>dss_caautoclubtexas210622_tblbillinginfo</t>
  </si>
  <si>
    <t>dss_caautoclubtexas210622_tblclassroom</t>
  </si>
  <si>
    <t>dss_caautoclubtexas210622_tblcrattendance</t>
  </si>
  <si>
    <t>dss_caautoclubtexas210622_tblcrsessions</t>
  </si>
  <si>
    <t>dss_caautoclubtexas210622_tblhighschool</t>
  </si>
  <si>
    <t>dss_caautoclubtexas210622_tblleads</t>
  </si>
  <si>
    <t>dss_caautoclubtexas210622_tbllocation</t>
  </si>
  <si>
    <t>dss_caautoclubtexas210622_tblpackageinfo</t>
  </si>
  <si>
    <t>dss_caautoclubtexas210622_tblpackagelocations</t>
  </si>
  <si>
    <t>dss_caautoclubtexas210622_tblpackageproducts</t>
  </si>
  <si>
    <t>dss_caautoclubtexas210622_tblproductinfo</t>
  </si>
  <si>
    <t>dss_caautoclubtexas210622_tblstaffinfo</t>
  </si>
  <si>
    <t>dss_caautoclubtexas210622_tblstudentenrollment</t>
  </si>
  <si>
    <t>dss_caautoclubtexas210622_tblstudentinfo</t>
  </si>
  <si>
    <t>dss_caautoclubtexas210622_tblvehicleinfo</t>
  </si>
  <si>
    <t>dss_meaaamaine211013_mstadjustmenttypes</t>
  </si>
  <si>
    <t>dss_meaaamaine211013_mstappointmentstatus</t>
  </si>
  <si>
    <t>dss_meaaamaine211013_mstclassroomsessionstatus</t>
  </si>
  <si>
    <t>dss_meaaamaine211013_mstclassroomstatus</t>
  </si>
  <si>
    <t>dss_meaaamaine211013_mstcreditcardtypes</t>
  </si>
  <si>
    <t>dss_meaaamaine211013_mstpaymenttypes</t>
  </si>
  <si>
    <t>dss_meaaamaine211013_mststaffstatus</t>
  </si>
  <si>
    <t>dss_meaaamaine211013_mststafftype</t>
  </si>
  <si>
    <t>dss_meaaamaine211013_mststudentstatus</t>
  </si>
  <si>
    <t>dss_meaaamaine211013_mstvehiclestatus</t>
  </si>
  <si>
    <t>dss_meaaamaine211013_mstvehicletype</t>
  </si>
  <si>
    <t>dss_meaaamaine211013_tblappointmentsinfo</t>
  </si>
  <si>
    <t>dss_meaaamaine211013_tblbillinginfo</t>
  </si>
  <si>
    <t>dss_meaaamaine211013_tblclassroom</t>
  </si>
  <si>
    <t>dss_meaaamaine211013_tblcrattendance</t>
  </si>
  <si>
    <t>dss_meaaamaine211013_tblcrsessions</t>
  </si>
  <si>
    <t>dss_meaaamaine211013_tblhighschool</t>
  </si>
  <si>
    <t>dss_meaaamaine211013_tblleads</t>
  </si>
  <si>
    <t>dss_meaaamaine211013_tbllocation</t>
  </si>
  <si>
    <t>dss_meaaamaine211013_tblpackageinfo</t>
  </si>
  <si>
    <t>dss_meaaamaine211013_tblpackagelocations</t>
  </si>
  <si>
    <t>dss_meaaamaine211013_tblpackageproducts</t>
  </si>
  <si>
    <t>dss_meaaamaine211013_tblproductinfo</t>
  </si>
  <si>
    <t>dss_meaaamaine211013_tblstaffinfo</t>
  </si>
  <si>
    <t>dss_meaaamaine211013_tblstudentenrollment</t>
  </si>
  <si>
    <t>dss_meaaamaine211013_tblstudentinfo</t>
  </si>
  <si>
    <t>dss_meaaamaine211013_tblvehicleinfo</t>
  </si>
  <si>
    <t>dss_nhaaanh211015_mstadjustmenttypes</t>
  </si>
  <si>
    <t>dss_nhaaanh211015_mstappointmentstatus</t>
  </si>
  <si>
    <t>dss_nhaaanh211015_mstclassroomsessionstatus</t>
  </si>
  <si>
    <t>dss_nhaaanh211015_mstclassroomstatus</t>
  </si>
  <si>
    <t>dss_nhaaanh211015_mstcreditcardtypes</t>
  </si>
  <si>
    <t>dss_nhaaanh211015_mstpaymenttypes</t>
  </si>
  <si>
    <t>dss_nhaaanh211015_mststaffstatus</t>
  </si>
  <si>
    <t>dss_nhaaanh211015_mststafftype</t>
  </si>
  <si>
    <t>dss_nhaaanh211015_mststudentstatus</t>
  </si>
  <si>
    <t>dss_nhaaanh211015_mstvehiclestatus</t>
  </si>
  <si>
    <t>dss_nhaaanh211015_mstvehicletype</t>
  </si>
  <si>
    <t>dss_nhaaanh211015_tblappointmentsinfo</t>
  </si>
  <si>
    <t>dss_nhaaanh211015_tblbillinginfo</t>
  </si>
  <si>
    <t>dss_nhaaanh211015_tblclassroom</t>
  </si>
  <si>
    <t>dss_nhaaanh211015_tblcrattendance</t>
  </si>
  <si>
    <t>dss_nhaaanh211015_tblcrsessions</t>
  </si>
  <si>
    <t>dss_nhaaanh211015_tblhighschool</t>
  </si>
  <si>
    <t>dss_nhaaanh211015_tblleads</t>
  </si>
  <si>
    <t>dss_nhaaanh211015_tbllocation</t>
  </si>
  <si>
    <t>dss_nhaaanh211015_tblpackageinfo</t>
  </si>
  <si>
    <t>dss_nhaaanh211015_tblpackagelocations</t>
  </si>
  <si>
    <t>dss_nhaaanh211015_tblpackageproducts</t>
  </si>
  <si>
    <t>dss_nhaaanh211015_tblproductinfo</t>
  </si>
  <si>
    <t>dss_nhaaanh211015_tblstaffinfo</t>
  </si>
  <si>
    <t>dss_nhaaanh211015_tblstudentenrollment</t>
  </si>
  <si>
    <t>dss_nhaaanh211015_tblstudentinfo</t>
  </si>
  <si>
    <t>dss_nhaaanh211015_tblvehicleinfo</t>
  </si>
  <si>
    <t>dss_ohautoclubohio220913_mstadjustmenttypes</t>
  </si>
  <si>
    <t>dss_ohautoclubohio220913_mstappointmentstatus</t>
  </si>
  <si>
    <t>dss_ohautoclubohio220913_mstclassroomsessionstatus</t>
  </si>
  <si>
    <t>dss_ohautoclubohio220913_mstclassroomstatus</t>
  </si>
  <si>
    <t>dss_ohautoclubohio220913_mstcreditcardtypes</t>
  </si>
  <si>
    <t>dss_ohautoclubohio220913_mstpaymenttypes</t>
  </si>
  <si>
    <t>dss_ohautoclubohio220913_mststaffstatus</t>
  </si>
  <si>
    <t>dss_ohautoclubohio220913_mststafftype</t>
  </si>
  <si>
    <t>dss_ohautoclubohio220913_mststudentstatus</t>
  </si>
  <si>
    <t>dss_ohautoclubohio220913_mstvehiclestatus</t>
  </si>
  <si>
    <t>dss_ohautoclubohio220913_mstvehicletype</t>
  </si>
  <si>
    <t>dss_ohautoclubohio220913_tblappointmentsinfo</t>
  </si>
  <si>
    <t>dss_ohautoclubohio220913_tblbillinginfo</t>
  </si>
  <si>
    <t>dss_ohautoclubohio220913_tblclassroom</t>
  </si>
  <si>
    <t>dss_ohautoclubohio220913_tblcrattendance</t>
  </si>
  <si>
    <t>dss_ohautoclubohio220913_tblcrsessions</t>
  </si>
  <si>
    <t>dss_ohautoclubohio220913_tblhighschool</t>
  </si>
  <si>
    <t>dss_ohautoclubohio220913_tblleads</t>
  </si>
  <si>
    <t>dss_ohautoclubohio220913_tbllocation</t>
  </si>
  <si>
    <t>dss_ohautoclubohio220913_tblpackageinfo</t>
  </si>
  <si>
    <t>dss_ohautoclubohio220913_tblpackagelocations</t>
  </si>
  <si>
    <t>dss_ohautoclubohio220913_tblpackageproducts</t>
  </si>
  <si>
    <t>dss_ohautoclubohio220913_tblproductinfo</t>
  </si>
  <si>
    <t>dss_ohautoclubohio220913_tblstaffinfo</t>
  </si>
  <si>
    <t>dss_ohautoclubohio220913_tblstudentenrollment</t>
  </si>
  <si>
    <t>dss_ohautoclubohio220913_tblstudentinfo</t>
  </si>
  <si>
    <t>dss_ohautoclubohio220913_tblvehicleinfo</t>
  </si>
  <si>
    <t>BaseTable</t>
  </si>
  <si>
    <t>BaseS3Location</t>
  </si>
  <si>
    <t>BaseCrawler</t>
  </si>
  <si>
    <t>BaseGlueJob</t>
  </si>
  <si>
    <t>BaseControlM</t>
  </si>
  <si>
    <t>dss_mstadjustmenttypes</t>
  </si>
  <si>
    <t>dss_mstappointmentstatus</t>
  </si>
  <si>
    <t>dss_mstclassroomsessionstatus</t>
  </si>
  <si>
    <t>dss_mstclassroomstatus</t>
  </si>
  <si>
    <t>dss_mstcreditcardtypes</t>
  </si>
  <si>
    <t>dss_mstpaymenttypes</t>
  </si>
  <si>
    <t>dss_mststaffstatus</t>
  </si>
  <si>
    <t>dss_mststafftype</t>
  </si>
  <si>
    <t>dss_mststudentstatus</t>
  </si>
  <si>
    <t>dss_mstvehiclestatus</t>
  </si>
  <si>
    <t>dss_mstvehicletype</t>
  </si>
  <si>
    <t>dss_tblappointmentsinfo</t>
  </si>
  <si>
    <t>dss_tblbillinginfo</t>
  </si>
  <si>
    <t>dss_tblclassroom</t>
  </si>
  <si>
    <t>dss_tblcrattendance</t>
  </si>
  <si>
    <t>dss_tblcrsessions</t>
  </si>
  <si>
    <t>dss_tblhighschool</t>
  </si>
  <si>
    <t>dss_tblleads</t>
  </si>
  <si>
    <t>dss_tbllocation</t>
  </si>
  <si>
    <t>dss_tblpackageinfo</t>
  </si>
  <si>
    <t>dss_tblpackagelocations</t>
  </si>
  <si>
    <t>dss_tblpackageproducts</t>
  </si>
  <si>
    <t>dss_tblproductinfo</t>
  </si>
  <si>
    <t>dss_tblstaffinfo</t>
  </si>
  <si>
    <t>dss_tblstudentenrollment</t>
  </si>
  <si>
    <t>dss_tblstudentinfo</t>
  </si>
  <si>
    <t>dss_tblvehicleinfo</t>
  </si>
  <si>
    <t>Helper Tables</t>
  </si>
  <si>
    <t>s3://ace-da-mc-dss-base-us-west-2-847515726144/non_partitioned/mstadjustmenttypes/</t>
  </si>
  <si>
    <t>s3://ace-da-mc-dss-base-us-west-2-847515726144/non_partitioned/mstappointmentstatus/</t>
  </si>
  <si>
    <t>s3://ace-da-mc-dss-base-us-west-2-847515726144/non_partitioned/mstclassroomsessionstatus/</t>
  </si>
  <si>
    <t>s3://ace-da-mc-dss-base-us-west-2-847515726144/non_partitioned/mstclassroomstatus/</t>
  </si>
  <si>
    <t>s3://ace-da-mc-dss-base-us-west-2-847515726144/non_partitioned/mstcreditcardtypes/</t>
  </si>
  <si>
    <t>s3://ace-da-mc-dss-base-us-west-2-847515726144/non_partitioned/mstpaymenttypes/</t>
  </si>
  <si>
    <t>s3://ace-da-mc-dss-base-us-west-2-847515726144/non_partitioned/mststaffstatus/</t>
  </si>
  <si>
    <t>s3://ace-da-mc-dss-base-us-west-2-847515726144/non_partitioned/mststafftype/</t>
  </si>
  <si>
    <t>s3://ace-da-mc-dss-base-us-west-2-847515726144/non_partitioned/mststudentstatus/</t>
  </si>
  <si>
    <t>s3://ace-da-mc-dss-base-us-west-2-847515726144/non_partitioned/mstvehiclestatus/</t>
  </si>
  <si>
    <t>s3://ace-da-mc-dss-base-us-west-2-847515726144/non_partitioned/mstvehicletype/</t>
  </si>
  <si>
    <t>s3://ace-da-mc-dss-base-us-west-2-847515726144/partitoned/tblappointmentsinfo/</t>
  </si>
  <si>
    <t>s3://ace-da-mc-dss-base-us-west-2-847515726144/partitoned/tblbillinginfo/</t>
  </si>
  <si>
    <t>s3://ace-da-mc-dss-base-us-west-2-847515726144/partitoned/tblclassroom/</t>
  </si>
  <si>
    <t>s3://ace-da-mc-dss-base-us-west-2-847515726144/partitoned/tblcrattendance/</t>
  </si>
  <si>
    <t>s3://ace-da-mc-dss-base-us-west-2-847515726144/partitoned/tblcrsessions/</t>
  </si>
  <si>
    <t>s3://ace-da-mc-dss-base-us-west-2-847515726144/partitoned/tblhighschool/</t>
  </si>
  <si>
    <t>s3://ace-da-mc-dss-base-us-west-2-847515726144/partitoned/tblleads/</t>
  </si>
  <si>
    <t>s3://ace-da-mc-dss-base-us-west-2-847515726144/partitoned/tbllocation/</t>
  </si>
  <si>
    <t>s3://ace-da-mc-dss-base-us-west-2-847515726144/partitoned/tblpackageinfo/</t>
  </si>
  <si>
    <t>s3://ace-da-mc-dss-base-us-west-2-847515726144/partitoned/tblpackagelocations/</t>
  </si>
  <si>
    <t>s3://ace-da-mc-dss-base-us-west-2-847515726144/partitoned/tblpackageproducts/</t>
  </si>
  <si>
    <t>s3://ace-da-mc-dss-base-us-west-2-847515726144/partitoned/tblproductinfo/</t>
  </si>
  <si>
    <t>s3://ace-da-mc-dss-base-us-west-2-847515726144/partitoned/tblstaffinfo/</t>
  </si>
  <si>
    <t>s3://ace-da-mc-dss-base-us-west-2-847515726144/partitoned/tblstudentenrollment/</t>
  </si>
  <si>
    <t>s3://ace-da-mc-dss-base-us-west-2-847515726144/partitoned/tblstudentinfo/</t>
  </si>
  <si>
    <t>s3://ace-da-mc-dss-base-us-west-2-847515726144/partitoned/tblvehicleinfo/</t>
  </si>
  <si>
    <t>ace_da_dss_base_partitoned</t>
  </si>
  <si>
    <t>DEO1097O_DSS_AWS_DATALAKE_TBLCLASSROOM_TO_AWS_BASE_LOAD</t>
  </si>
  <si>
    <t>ace-da-dss-base-tblstudentinfo</t>
  </si>
  <si>
    <t>ace-da-dss-base-tblproductinfo</t>
  </si>
  <si>
    <t xml:space="preserve">ace-da-dss-base-tblstudentenrollment </t>
  </si>
  <si>
    <t>ace-da-dss-base-layer</t>
  </si>
  <si>
    <t>DatalakeTable</t>
  </si>
  <si>
    <t>dss_caautoclubsocal201229_mstadjustmenttypes, 
dss_caautoclubtexas210622_mstadjustmenttypes, 
dss_meaaamaine211013_mstadjustmenttypes, 
dss_nhaaanh211015_mstadjustmenttypes, 
dss_ohautoclubohio220913_mstadjustmenttypes</t>
  </si>
  <si>
    <t>dss_caautoclubsocal201229_mstappointmentstatus, 
dss_caautoclubtexas210622_mstappointmentstatus, 
dss_meaaamaine211013_mstappointmentstatus, 
dss_nhaaanh211015_mstappointmentstatus, 
dss_ohautoclubohio220913_mstappointmentstatus</t>
  </si>
  <si>
    <t>dss_caautoclubsocal201229_mstclassroomsessionstatus, 
dss_caautoclubtexas210622_mstclassroomsessionstatus, 
dss_meaaamaine211013_mstclassroomsessionstatus, 
dss_nhaaanh211015_mstclassroomsessionstatus, 
dss_ohautoclubohio220913_mstclassroomsessionstatus</t>
  </si>
  <si>
    <t>dss_caautoclubsocal201229_mstclassroomstatus, 
dss_caautoclubtexas210622_mstclassroomstatus, 
dss_meaaamaine211013_mstclassroomstatus, 
dss_nhaaanh211015_mstclassroomstatus, 
dss_ohautoclubohio220913_mstclassroomstatus</t>
  </si>
  <si>
    <t>dss_caautoclubsocal201229_mstcreditcardtypes, 
dss_caautoclubtexas210622_mstcreditcardtypes, 
dss_meaaamaine211013_mstcreditcardtypes, 
dss_nhaaanh211015_mstcreditcardtypes, 
dss_ohautoclubohio220913_mstcreditcardtypes</t>
  </si>
  <si>
    <t>dss_caautoclubsocal201229_mstpaymenttypes, 
dss_caautoclubtexas210622_mstpaymenttypes, 
dss_meaaamaine211013_mstpaymenttypes, 
dss_nhaaanh211015_mstpaymenttypes, 
dss_ohautoclubohio220913_mstpaymenttypes</t>
  </si>
  <si>
    <t>dss_caautoclubsocal201229_mststaffstatus, 
dss_caautoclubtexas210622_mststaffstatus, 
dss_meaaamaine211013_mststaffstatus, 
dss_nhaaanh211015_mststaffstatus, 
dss_ohautoclubohio220913_mststaffstatus</t>
  </si>
  <si>
    <t>dss_caautoclubsocal201229_mststafftype, 
dss_caautoclubtexas210622_mststafftype, 
dss_meaaamaine211013_mststafftype, 
dss_nhaaanh211015_mststafftype, 
dss_ohautoclubohio220913_mststafftype</t>
  </si>
  <si>
    <t>dss_caautoclubsocal201229_mststudentstatus, 
dss_caautoclubtexas210622_mststudentstatus, 
dss_meaaamaine211013_mststudentstatus, 
dss_nhaaanh211015_mststudentstatus, 
dss_ohautoclubohio220913_mststudentstatus</t>
  </si>
  <si>
    <t>dss_caautoclubsocal201229_mstvehiclestatus, 
dss_caautoclubtexas210622_mstvehiclestatus, 
dss_meaaamaine211013_mstvehiclestatus, 
dss_nhaaanh211015_mstvehiclestatus, 
dss_ohautoclubohio220913_mstvehiclestatus</t>
  </si>
  <si>
    <t>dss_caautoclubsocal201229_mstvehicletype, 
dss_caautoclubtexas210622_mstvehicletype, 
dss_meaaamaine211013_mstvehicletype, 
dss_nhaaanh211015_mstvehicletype, 
dss_ohautoclubohio220913_mstvehicletype</t>
  </si>
  <si>
    <t>dss_caautoclubsocal201229_tblappointmentsinfo, 
dss_caautoclubtexas210622_tblappointmentsinfo, 
dss_meaaamaine211013_tblappointmentsinfo, 
dss_nhaaanh211015_tblappointmentsinfo, 
dss_ohautoclubohio220913_tblappointmentsinfo</t>
  </si>
  <si>
    <t>dss_caautoclubsocal201229_tblbillinginfo, 
dss_caautoclubtexas210622_tblbillinginfo, 
dss_meaaamaine211013_tblbillinginfo, 
dss_nhaaanh211015_tblbillinginfo, 
dss_ohautoclubohio220913_tblbillinginfo</t>
  </si>
  <si>
    <t>dss_caautoclubsocal201229_tblclassroom, 
dss_caautoclubtexas210622_tblclassroom, 
dss_meaaamaine211013_tblclassroom, 
dss_nhaaanh211015_tblclassroom, 
dss_ohautoclubohio220913_tblclassroom</t>
  </si>
  <si>
    <t>dss_caautoclubsocal201229_tblcrattendance, 
dss_caautoclubtexas210622_tblcrattendance, 
dss_meaaamaine211013_tblcrattendance, 
dss_nhaaanh211015_tblcrattendance, 
dss_ohautoclubohio220913_tblcrattendance</t>
  </si>
  <si>
    <t>dss_caautoclubsocal201229_tblcrsessions, 
dss_caautoclubtexas210622_tblcrsessions, 
dss_meaaamaine211013_tblcrsessions, 
dss_nhaaanh211015_tblcrsessions, 
dss_ohautoclubohio220913_tblcrsessions</t>
  </si>
  <si>
    <t>dss_caautoclubsocal201229_tblhighschool, 
dss_caautoclubtexas210622_tblhighschool, 
dss_meaaamaine211013_tblhighschool, 
dss_nhaaanh211015_tblhighschool, 
dss_ohautoclubohio220913_tblhighschool</t>
  </si>
  <si>
    <t>dss_caautoclubsocal201229_tblleads, 
dss_caautoclubtexas210622_tblleads, 
dss_meaaamaine211013_tblleads, 
dss_nhaaanh211015_tblleads, 
dss_ohautoclubohio220913_tblleads</t>
  </si>
  <si>
    <t>dss_caautoclubsocal201229_tbllocation, 
dss_caautoclubtexas210622_tbllocation, 
dss_meaaamaine211013_tbllocation, 
dss_nhaaanh211015_tbllocation, 
dss_ohautoclubohio220913_tbllocation</t>
  </si>
  <si>
    <t>dss_caautoclubsocal201229_tblpackageinfo, 
dss_caautoclubtexas210622_tblpackageinfo, 
dss_meaaamaine211013_tblpackageinfo, 
dss_nhaaanh211015_tblpackageinfo, 
dss_ohautoclubohio220913_tblpackageinfo</t>
  </si>
  <si>
    <t>dss_caautoclubsocal201229_tblpackagelocations, 
dss_caautoclubtexas210622_tblpackagelocations, 
dss_meaaamaine211013_tblpackagelocations, 
dss_nhaaanh211015_tblpackagelocations, 
dss_ohautoclubohio220913_tblpackagelocations</t>
  </si>
  <si>
    <t>dss_caautoclubsocal201229_tblpackageproducts, 
dss_caautoclubtexas210622_tblpackageproducts, 
dss_meaaamaine211013_tblpackageproducts, 
dss_nhaaanh211015_tblpackageproducts, 
dss_ohautoclubohio220913_tblpackageproducts</t>
  </si>
  <si>
    <t>dss_caautoclubsocal201229_tblproductinfo, 
dss_caautoclubtexas210622_tblproductinfo, 
dss_meaaamaine211013_tblproductinfo, 
dss_nhaaanh211015_tblproductinfo, 
dss_ohautoclubohio220913_tblproductinfo</t>
  </si>
  <si>
    <t>dss_caautoclubsocal201229_tblstaffinfo, 
dss_caautoclubtexas210622_tblstaffinfo, 
dss_meaaamaine211013_tblstaffinfo, 
dss_nhaaanh211015_tblstaffinfo, 
dss_ohautoclubohio220913_tblstaffinfo</t>
  </si>
  <si>
    <t>dss_caautoclubsocal201229_tblstudentenrollment, 
dss_caautoclubtexas210622_tblstudentenrollment, 
dss_meaaamaine211013_tblstudentenrollment, 
dss_nhaaanh211015_tblstudentenrollment, 
dss_ohautoclubohio220913_tblstudentenrollment</t>
  </si>
  <si>
    <t>dss_caautoclubsocal201229_tblstudentinfo, 
dss_caautoclubtexas210622_tblstudentinfo, 
dss_meaaamaine211013_tblstudentinfo, 
dss_nhaaanh211015_tblstudentinfo, 
dss_ohautoclubohio220913_tblstudentinfo</t>
  </si>
  <si>
    <t>dss_caautoclubsocal201229_tblvehicleinfo, 
dss_caautoclubtexas210622_tblvehicleinfo, 
dss_meaaamaine211013_tblvehicleinfo, 
dss_nhaaanh211015_tblvehicleinfo, 
dss_ohautoclubohio220913_tblvehicleinfo</t>
  </si>
  <si>
    <t>MasterTable</t>
  </si>
  <si>
    <t>MasterS3Location</t>
  </si>
  <si>
    <t>MasterCrawler</t>
  </si>
  <si>
    <t>MasterGlueJob</t>
  </si>
  <si>
    <t>MasterControlM</t>
  </si>
  <si>
    <t>dss_student_master</t>
  </si>
  <si>
    <t>marketing_extract</t>
  </si>
  <si>
    <t>s3://ace-da-mc-dss-master-us-west-2-847515726144/dss_student_master/</t>
  </si>
  <si>
    <t>s3://ace-da-mc-dss-master-us-west-2-847515726144/marketing_extract/</t>
  </si>
  <si>
    <t>ace_da_dss_marketing_extract</t>
  </si>
  <si>
    <t>None ( Iceberg table)</t>
  </si>
  <si>
    <t>ace-da-dss-marketing-extract</t>
  </si>
  <si>
    <t>ace-da-dss-student-master</t>
  </si>
  <si>
    <t>dss_tblstudentinfo,
dss_tbllocation,
dss_tblpackageinfo,
dss_tblstudentenrollment,
dss_tblstaffinfo</t>
  </si>
  <si>
    <t>DatalakeS3Location</t>
  </si>
  <si>
    <t>DatalakeCrawler</t>
  </si>
  <si>
    <t>DatalakeGlueJob</t>
  </si>
  <si>
    <t>DatalakeControlM</t>
  </si>
  <si>
    <t>s3://ace-da-mc-dss-datalake-us-west-2-847515726144/datalake/CAAutoClubSoCal201229_mstAdjustmentTypes/</t>
  </si>
  <si>
    <t>ace_da_dss_datalake</t>
  </si>
  <si>
    <t>ace-da-dss-staging-to-datalake</t>
  </si>
  <si>
    <t>s3://ace-da-mc-dss-datalake-us-west-2-847515726144/datalake/CAAutoClubSoCal201229_mstAppointmentStatus/</t>
  </si>
  <si>
    <t>s3://ace-da-mc-dss-datalake-us-west-2-847515726144/datalake/CAAutoClubSoCal201229_mstClassroomSessionStatus/</t>
  </si>
  <si>
    <t>s3://ace-da-mc-dss-datalake-us-west-2-847515726144/datalake/CAAutoClubSoCal201229_mstClassroomStatus/</t>
  </si>
  <si>
    <t>s3://ace-da-mc-dss-datalake-us-west-2-847515726144/datalake/CAAutoClubSoCal201229_mstCreditCardTypes/</t>
  </si>
  <si>
    <t>s3://ace-da-mc-dss-datalake-us-west-2-847515726144/datalake/CAAutoClubSoCal201229_mstPaymentTypes/</t>
  </si>
  <si>
    <t>s3://ace-da-mc-dss-datalake-us-west-2-847515726144/datalake/CAAutoClubSoCal201229_mstStaffStatus/</t>
  </si>
  <si>
    <t>s3://ace-da-mc-dss-datalake-us-west-2-847515726144/datalake/CAAutoClubSoCal201229_mstStaffType/</t>
  </si>
  <si>
    <t>s3://ace-da-mc-dss-datalake-us-west-2-847515726144/datalake/CAAutoClubSoCal201229_mstStudentStatus/</t>
  </si>
  <si>
    <t>s3://ace-da-mc-dss-datalake-us-west-2-847515726144/datalake/CAAutoClubSoCal201229_mstVehicleStatus/</t>
  </si>
  <si>
    <t>s3://ace-da-mc-dss-datalake-us-west-2-847515726144/datalake/CAAutoClubSoCal201229_mstVehicleType/</t>
  </si>
  <si>
    <t>s3://ace-da-mc-dss-datalake-us-west-2-847515726144/datalake/CAAutoClubSoCal201229_tblAppointmentsInfo/</t>
  </si>
  <si>
    <t>s3://ace-da-mc-dss-datalake-us-west-2-847515726144/datalake/CAAutoClubSoCal201229_tblBillingInfo/</t>
  </si>
  <si>
    <t>s3://ace-da-mc-dss-datalake-us-west-2-847515726144/datalake/CAAutoClubSoCal201229_tblclassroom/</t>
  </si>
  <si>
    <t>s3://ace-da-mc-dss-datalake-us-west-2-847515726144/datalake/CAAutoClubSoCal201229_tblCrAttendance/</t>
  </si>
  <si>
    <t>s3://ace-da-mc-dss-datalake-us-west-2-847515726144/datalake/CAAutoClubSoCal201229_TblCrSessions/</t>
  </si>
  <si>
    <t>s3://ace-da-mc-dss-datalake-us-west-2-847515726144/datalake/CAAutoClubSoCal201229_tblhighschool/</t>
  </si>
  <si>
    <t>s3://ace-da-mc-dss-datalake-us-west-2-847515726144/datalake/CAAutoClubSoCal201229_tblleads/</t>
  </si>
  <si>
    <t>s3://ace-da-mc-dss-datalake-us-west-2-847515726144/datalake/CAAutoClubSoCal201229_tbllocation/</t>
  </si>
  <si>
    <t>s3://ace-da-mc-dss-datalake-us-west-2-847515726144/datalake/CAAutoClubSoCal201229_tblpackageinfo/</t>
  </si>
  <si>
    <t>s3://ace-da-mc-dss-datalake-us-west-2-847515726144/datalake/CAAutoClubSoCal201229_tblpackageLocations/</t>
  </si>
  <si>
    <t>s3://ace-da-mc-dss-datalake-us-west-2-847515726144/datalake/CAAutoClubSoCal201229_tblpackageproducts/</t>
  </si>
  <si>
    <t>s3://ace-da-mc-dss-datalake-us-west-2-847515726144/datalake/CAAutoClubSoCal201229_tblproductinfo/</t>
  </si>
  <si>
    <t>s3://ace-da-mc-dss-datalake-us-west-2-847515726144/datalake/CAAutoClubSoCal201229_TblStaffInfo/</t>
  </si>
  <si>
    <t>s3://ace-da-mc-dss-datalake-us-west-2-847515726144/datalake/CAAutoClubSoCal201229_tblStudentEnrollment/</t>
  </si>
  <si>
    <t>s3://ace-da-mc-dss-datalake-us-west-2-847515726144/datalake/CAAutoClubSoCal201229_tblStudentInfo/</t>
  </si>
  <si>
    <t>s3://ace-da-mc-dss-datalake-us-west-2-847515726144/datalake/CAAutoClubSoCal201229_tblVehicleInfo/</t>
  </si>
  <si>
    <t>s3://ace-da-mc-dss-datalake-us-west-2-847515726144/datalake/CAAutoClubTexas210622_mstAdjustmentTypes/</t>
  </si>
  <si>
    <t>s3://ace-da-mc-dss-datalake-us-west-2-847515726144/datalake/CAAutoClubTexas210622_mstAppointmentStatus/</t>
  </si>
  <si>
    <t>s3://ace-da-mc-dss-datalake-us-west-2-847515726144/datalake/CAAutoClubTexas210622_mstClassroomSessionStatus/</t>
  </si>
  <si>
    <t>s3://ace-da-mc-dss-datalake-us-west-2-847515726144/datalake/CAAutoClubTexas210622_mstClassroomStatus/</t>
  </si>
  <si>
    <t>s3://ace-da-mc-dss-datalake-us-west-2-847515726144/datalake/CAAutoClubTexas210622_mstCreditCardTypes/</t>
  </si>
  <si>
    <t>s3://ace-da-mc-dss-datalake-us-west-2-847515726144/datalake/CAAutoClubTexas210622_mstPaymentTypes/</t>
  </si>
  <si>
    <t>s3://ace-da-mc-dss-datalake-us-west-2-847515726144/datalake/CAAutoClubTexas210622_mstStaffStatus/</t>
  </si>
  <si>
    <t>s3://ace-da-mc-dss-datalake-us-west-2-847515726144/datalake/CAAutoClubTexas210622_mstStaffType/</t>
  </si>
  <si>
    <t>s3://ace-da-mc-dss-datalake-us-west-2-847515726144/datalake/CAAutoClubTexas210622_mstStudentStatus/</t>
  </si>
  <si>
    <t>s3://ace-da-mc-dss-datalake-us-west-2-847515726144/datalake/CAAutoClubTexas210622_mstVehicleStatus/</t>
  </si>
  <si>
    <t>s3://ace-da-mc-dss-datalake-us-west-2-847515726144/datalake/CAAutoClubTexas210622_mstVehicleType/</t>
  </si>
  <si>
    <t>s3://ace-da-mc-dss-datalake-us-west-2-847515726144/datalake/CAAutoClubTexas210622_tblAppointmentsInfo/</t>
  </si>
  <si>
    <t>s3://ace-da-mc-dss-datalake-us-west-2-847515726144/datalake/CAAutoClubTexas210622_tblBillingInfo/</t>
  </si>
  <si>
    <t>s3://ace-da-mc-dss-datalake-us-west-2-847515726144/datalake/CAAutoClubTexas210622_tblclassroom/</t>
  </si>
  <si>
    <t>s3://ace-da-mc-dss-datalake-us-west-2-847515726144/datalake/CAAutoClubTexas210622_tblCrAttendance/</t>
  </si>
  <si>
    <t>s3://ace-da-mc-dss-datalake-us-west-2-847515726144/datalake/CAAutoClubTexas210622_TblCrSessions/</t>
  </si>
  <si>
    <t>s3://ace-da-mc-dss-datalake-us-west-2-847515726144/datalake/CAAutoClubTexas210622_tblleads/</t>
  </si>
  <si>
    <t>s3://ace-da-mc-dss-datalake-us-west-2-847515726144/datalake/CAAutoClubTexas210622_tbllocation/</t>
  </si>
  <si>
    <t>s3://ace-da-mc-dss-datalake-us-west-2-847515726144/datalake/CAAutoClubTexas210622_tblpackageinfo/</t>
  </si>
  <si>
    <t>s3://ace-da-mc-dss-datalake-us-west-2-847515726144/datalake/CAAutoClubTexas210622_tblpackageLocations/</t>
  </si>
  <si>
    <t>s3://ace-da-mc-dss-datalake-us-west-2-847515726144/datalake/CAAutoClubTexas210622_tblpackageproducts/</t>
  </si>
  <si>
    <t>s3://ace-da-mc-dss-datalake-us-west-2-847515726144/datalake/CAAutoClubTexas210622_tblproductinfo/</t>
  </si>
  <si>
    <t>s3://ace-da-mc-dss-datalake-us-west-2-847515726144/datalake/CAAutoClubTexas210622_TblStaffInfo/</t>
  </si>
  <si>
    <t>s3://ace-da-mc-dss-datalake-us-west-2-847515726144/datalake/CAAutoClubTexas210622_tblStudentEnrollment/</t>
  </si>
  <si>
    <t>s3://ace-da-mc-dss-datalake-us-west-2-847515726144/datalake/CAAutoClubTexas210622_tblStudentInfo/</t>
  </si>
  <si>
    <t>s3://ace-da-mc-dss-datalake-us-west-2-847515726144/datalake/CAAutoClubTexas210622_tblVehicleInfo/</t>
  </si>
  <si>
    <t>s3://ace-da-mc-dss-datalake-us-west-2-847515726144/datalake/MEAAAMaine211013_mstAdjustmentTypes/</t>
  </si>
  <si>
    <t>s3://ace-da-mc-dss-datalake-us-west-2-847515726144/datalake/MEAAAMaine211013_mstAppointmentStatus/</t>
  </si>
  <si>
    <t>s3://ace-da-mc-dss-datalake-us-west-2-847515726144/datalake/MEAAAMaine211013_mstClassroomSessionStatus/</t>
  </si>
  <si>
    <t>s3://ace-da-mc-dss-datalake-us-west-2-847515726144/datalake/MEAAAMaine211013_mstClassroomStatus/</t>
  </si>
  <si>
    <t>s3://ace-da-mc-dss-datalake-us-west-2-847515726144/datalake/MEAAAMaine211013_mstCreditCardTypes/</t>
  </si>
  <si>
    <t>s3://ace-da-mc-dss-datalake-us-west-2-847515726144/datalake/MEAAAMaine211013_mstPaymentTypes/</t>
  </si>
  <si>
    <t>s3://ace-da-mc-dss-datalake-us-west-2-847515726144/datalake/MEAAAMaine211013_mstStaffStatus/</t>
  </si>
  <si>
    <t>s3://ace-da-mc-dss-datalake-us-west-2-847515726144/datalake/MEAAAMaine211013_mstStaffType/</t>
  </si>
  <si>
    <t>s3://ace-da-mc-dss-datalake-us-west-2-847515726144/datalake/MEAAAMaine211013_mstStudentStatus/</t>
  </si>
  <si>
    <t>s3://ace-da-mc-dss-datalake-us-west-2-847515726144/datalake/MEAAAMaine211013_mstVehicleStatus/</t>
  </si>
  <si>
    <t>s3://ace-da-mc-dss-datalake-us-west-2-847515726144/datalake/MEAAAMaine211013_mstVehicleType/</t>
  </si>
  <si>
    <t>s3://ace-da-mc-dss-datalake-us-west-2-847515726144/datalake/MEAAAMaine211013_tblAppointmentsInfo/</t>
  </si>
  <si>
    <t>s3://ace-da-mc-dss-datalake-us-west-2-847515726144/datalake/MEAAAMaine211013_tblBillingInfo/</t>
  </si>
  <si>
    <t>s3://ace-da-mc-dss-datalake-us-west-2-847515726144/datalake/MEAAAMaine211013_tblclassroom/</t>
  </si>
  <si>
    <t>s3://ace-da-mc-dss-datalake-us-west-2-847515726144/datalake/MEAAAMaine211013_tblCrAttendance/</t>
  </si>
  <si>
    <t>s3://ace-da-mc-dss-datalake-us-west-2-847515726144/datalake/MEAAAMaine211013_TblCrSessions/</t>
  </si>
  <si>
    <t>s3://ace-da-mc-dss-datalake-us-west-2-847515726144/datalake/MEAAAMaine211013_tblhighschool/</t>
  </si>
  <si>
    <t>s3://ace-da-mc-dss-datalake-us-west-2-847515726144/datalake/MEAAAMaine211013_tblleads/</t>
  </si>
  <si>
    <t>s3://ace-da-mc-dss-datalake-us-west-2-847515726144/datalake/MEAAAMaine211013_tbllocation/</t>
  </si>
  <si>
    <t>s3://ace-da-mc-dss-datalake-us-west-2-847515726144/datalake/MEAAAMaine211013_tblpackageinfo/</t>
  </si>
  <si>
    <t>s3://ace-da-mc-dss-datalake-us-west-2-847515726144/datalake/MEAAAMaine211013_tblpackageLocations/</t>
  </si>
  <si>
    <t>s3://ace-da-mc-dss-datalake-us-west-2-847515726144/datalake/MEAAAMaine211013_tblpackageproducts/</t>
  </si>
  <si>
    <t>s3://ace-da-mc-dss-datalake-us-west-2-847515726144/datalake/MEAAAMaine211013_tblproductinfo/</t>
  </si>
  <si>
    <t>s3://ace-da-mc-dss-datalake-us-west-2-847515726144/datalake/MEAAAMaine211013_TblStaffInfo/</t>
  </si>
  <si>
    <t>s3://ace-da-mc-dss-datalake-us-west-2-847515726144/datalake/MEAAAMaine211013_tblStudentEnrollment/</t>
  </si>
  <si>
    <t>s3://ace-da-mc-dss-datalake-us-west-2-847515726144/datalake/MEAAAMaine211013_tblStudentInfo/</t>
  </si>
  <si>
    <t>s3://ace-da-mc-dss-datalake-us-west-2-847515726144/datalake/MEAAAMaine211013_tblVehicleInfo/</t>
  </si>
  <si>
    <t>s3://ace-da-mc-dss-datalake-us-west-2-847515726144/datalake/NHAAANH211015_mstAdjustmentTypes/</t>
  </si>
  <si>
    <t>s3://ace-da-mc-dss-datalake-us-west-2-847515726144/datalake/NHAAANH211015_mstAppointmentStatus/</t>
  </si>
  <si>
    <t>s3://ace-da-mc-dss-datalake-us-west-2-847515726144/datalake/NHAAANH211015_mstClassroomSessionStatus/</t>
  </si>
  <si>
    <t>s3://ace-da-mc-dss-datalake-us-west-2-847515726144/datalake/NHAAANH211015_mstClassroomStatus/</t>
  </si>
  <si>
    <t>s3://ace-da-mc-dss-datalake-us-west-2-847515726144/datalake/NHAAANH211015_mstCreditCardTypes/</t>
  </si>
  <si>
    <t>s3://ace-da-mc-dss-datalake-us-west-2-847515726144/datalake/NHAAANH211015_mstPaymentTypes/</t>
  </si>
  <si>
    <t>s3://ace-da-mc-dss-datalake-us-west-2-847515726144/datalake/NHAAANH211015_mstStaffStatus/</t>
  </si>
  <si>
    <t>s3://ace-da-mc-dss-datalake-us-west-2-847515726144/datalake/NHAAANH211015_mstStaffType/</t>
  </si>
  <si>
    <t>s3://ace-da-mc-dss-datalake-us-west-2-847515726144/datalake/NHAAANH211015_mstStudentStatus/</t>
  </si>
  <si>
    <t>s3://ace-da-mc-dss-datalake-us-west-2-847515726144/datalake/NHAAANH211015_mstVehicleStatus/</t>
  </si>
  <si>
    <t>s3://ace-da-mc-dss-datalake-us-west-2-847515726144/datalake/NHAAANH211015_mstVehicleType/</t>
  </si>
  <si>
    <t>s3://ace-da-mc-dss-datalake-us-west-2-847515726144/datalake/NHAAANH211015_tblAppointmentsInfo/</t>
  </si>
  <si>
    <t>s3://ace-da-mc-dss-datalake-us-west-2-847515726144/datalake/NHAAANH211015_tblBillingInfo/</t>
  </si>
  <si>
    <t>s3://ace-da-mc-dss-datalake-us-west-2-847515726144/datalake/NHAAANH211015_tblclassroom/</t>
  </si>
  <si>
    <t>s3://ace-da-mc-dss-datalake-us-west-2-847515726144/datalake/NHAAANH211015_tblCrAttendance/</t>
  </si>
  <si>
    <t>s3://ace-da-mc-dss-datalake-us-west-2-847515726144/datalake/NHAAANH211015_TblCrSessions/</t>
  </si>
  <si>
    <t>s3://ace-da-mc-dss-datalake-us-west-2-847515726144/datalake/NHAAANH211015_tblhighschool/</t>
  </si>
  <si>
    <t>s3://ace-da-mc-dss-datalake-us-west-2-847515726144/datalake/NHAAANH211015_tblleads/</t>
  </si>
  <si>
    <t>s3://ace-da-mc-dss-datalake-us-west-2-847515726144/datalake/NHAAANH211015_tbllocation/</t>
  </si>
  <si>
    <t>s3://ace-da-mc-dss-datalake-us-west-2-847515726144/datalake/NHAAANH211015_tblpackageinfo/</t>
  </si>
  <si>
    <t>s3://ace-da-mc-dss-datalake-us-west-2-847515726144/datalake/NHAAANH211015_tblpackageLocations/</t>
  </si>
  <si>
    <t>s3://ace-da-mc-dss-datalake-us-west-2-847515726144/datalake/NHAAANH211015_tblpackageproducts/</t>
  </si>
  <si>
    <t>s3://ace-da-mc-dss-datalake-us-west-2-847515726144/datalake/NHAAANH211015_tblproductinfo/</t>
  </si>
  <si>
    <t>s3://ace-da-mc-dss-datalake-us-west-2-847515726144/datalake/NHAAANH211015_TblStaffInfo/</t>
  </si>
  <si>
    <t>s3://ace-da-mc-dss-datalake-us-west-2-847515726144/datalake/NHAAANH211015_tblStudentEnrollment/</t>
  </si>
  <si>
    <t>s3://ace-da-mc-dss-datalake-us-west-2-847515726144/datalake/NHAAANH211015_tblStudentInfo/</t>
  </si>
  <si>
    <t>s3://ace-da-mc-dss-datalake-us-west-2-847515726144/datalake/NHAAANH211015_tblVehicleInfo/</t>
  </si>
  <si>
    <t>s3://ace-da-mc-dss-datalake-us-west-2-847515726144/datalake/OHAutoClubOhio220913_mstAdjustmentTypes/</t>
  </si>
  <si>
    <t>s3://ace-da-mc-dss-datalake-us-west-2-847515726144/datalake/OHAutoClubOhio220913_mstAppointmentStatus/</t>
  </si>
  <si>
    <t>s3://ace-da-mc-dss-datalake-us-west-2-847515726144/datalake/OHAutoClubOhio220913_mstClassroomSessionStatus/</t>
  </si>
  <si>
    <t>s3://ace-da-mc-dss-datalake-us-west-2-847515726144/datalake/OHAutoClubOhio220913_mstClassroomStatus/</t>
  </si>
  <si>
    <t>s3://ace-da-mc-dss-datalake-us-west-2-847515726144/datalake/OHAutoClubOhio220913_mstCreditCardTypes/</t>
  </si>
  <si>
    <t>s3://ace-da-mc-dss-datalake-us-west-2-847515726144/datalake/OHAutoClubOhio220913_mstPaymentTypes/</t>
  </si>
  <si>
    <t>s3://ace-da-mc-dss-datalake-us-west-2-847515726144/datalake/OHAutoClubOhio220913_mstStaffStatus/</t>
  </si>
  <si>
    <t>s3://ace-da-mc-dss-datalake-us-west-2-847515726144/datalake/OHAutoClubOhio220913_mstStaffType/</t>
  </si>
  <si>
    <t>s3://ace-da-mc-dss-datalake-us-west-2-847515726144/datalake/OHAutoClubOhio220913_mstStudentStatus/</t>
  </si>
  <si>
    <t>s3://ace-da-mc-dss-datalake-us-west-2-847515726144/datalake/OHAutoClubOhio220913_mstVehicleStatus/</t>
  </si>
  <si>
    <t>s3://ace-da-mc-dss-datalake-us-west-2-847515726144/datalake/OHAutoClubOhio220913_mstVehicleType/</t>
  </si>
  <si>
    <t>s3://ace-da-mc-dss-datalake-us-west-2-847515726144/datalake/OHAutoClubOhio220913_tblAppointmentsInfo/</t>
  </si>
  <si>
    <t>s3://ace-da-mc-dss-datalake-us-west-2-847515726144/datalake/OHAutoClubOhio220913_tblBillingInfo/</t>
  </si>
  <si>
    <t>s3://ace-da-mc-dss-datalake-us-west-2-847515726144/datalake/OHAutoClubOhio220913_tblclassroom/</t>
  </si>
  <si>
    <t>s3://ace-da-mc-dss-datalake-us-west-2-847515726144/datalake/OHAutoClubOhio220913_TblCrSessions/</t>
  </si>
  <si>
    <t>s3://ace-da-mc-dss-datalake-us-west-2-847515726144/datalake/OHAutoClubOhio220913_tblleads/</t>
  </si>
  <si>
    <t>s3://ace-da-mc-dss-datalake-us-west-2-847515726144/datalake/OHAutoClubOhio220913_tbllocation/</t>
  </si>
  <si>
    <t>s3://ace-da-mc-dss-datalake-us-west-2-847515726144/datalake/OHAutoClubOhio220913_tblpackageinfo/</t>
  </si>
  <si>
    <t>s3://ace-da-mc-dss-datalake-us-west-2-847515726144/datalake/OHAutoClubOhio220913_tblpackageLocations/</t>
  </si>
  <si>
    <t>s3://ace-da-mc-dss-datalake-us-west-2-847515726144/datalake/OHAutoClubOhio220913_tblpackageproducts/</t>
  </si>
  <si>
    <t>s3://ace-da-mc-dss-datalake-us-west-2-847515726144/datalake/OHAutoClubOhio220913_tblproductinfo/</t>
  </si>
  <si>
    <t>s3://ace-da-mc-dss-datalake-us-west-2-847515726144/datalake/OHAutoClubOhio220913_TblStaffInfo/</t>
  </si>
  <si>
    <t>s3://ace-da-mc-dss-datalake-us-west-2-847515726144/datalake/OHAutoClubOhio220913_tblStudentEnrollment/</t>
  </si>
  <si>
    <t>s3://ace-da-mc-dss-datalake-us-west-2-847515726144/datalake/OHAutoClubOhio220913_tblStudentInfo/</t>
  </si>
  <si>
    <t>s3://ace-da-mc-dss-datalake-us-west-2-847515726144/datalake/OHAutoClubOhio220913_tblVehicleInfo/</t>
  </si>
  <si>
    <t>SFTP Job</t>
  </si>
  <si>
    <t>SFTP Location</t>
  </si>
  <si>
    <t>Look Up Table</t>
  </si>
  <si>
    <t>Datalake table</t>
  </si>
  <si>
    <t>Base table</t>
  </si>
  <si>
    <t>Master table</t>
  </si>
  <si>
    <t>Datalake Jobs</t>
  </si>
  <si>
    <t>Base glue jobs</t>
  </si>
  <si>
    <t>Master glue job</t>
  </si>
  <si>
    <t xml:space="preserve">Control M Datalake </t>
  </si>
  <si>
    <t>Control M Base</t>
  </si>
  <si>
    <t xml:space="preserve">Control M Master </t>
  </si>
  <si>
    <t xml:space="preserve">Control M SFTP </t>
  </si>
  <si>
    <t>SFTP location</t>
  </si>
  <si>
    <t>LookUpOptions</t>
  </si>
  <si>
    <t>Base</t>
  </si>
  <si>
    <t>Master</t>
  </si>
  <si>
    <t>DEO1102O_DSS_AWS_TBLLOCATION_TO_AWS_BASE_LOAD</t>
  </si>
  <si>
    <t>DEO1101O_DSS_AWS_TBLLEADS_TO_AWS_BASE_LOAD</t>
  </si>
  <si>
    <t>Datalake Table Calculation</t>
  </si>
  <si>
    <t>Base Job Calculation</t>
  </si>
  <si>
    <t>Base Control M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</si>
</sst>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F141A"/>
      <name val="Var(--font-family-base-4om3hr,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sz val="11"/>
      <color rgb="FF0F141A"/>
      <name val="Arial"/>
      <family val="2"/>
    </font>
    <font>
      <sz val="11"/>
      <color rgb="FF000000"/>
      <name val="Aptos Narrow"/>
      <family val="2"/>
      <scheme val="minor"/>
    </font>
    <font>
      <sz val="16"/>
      <color rgb="FF000000"/>
      <name val="Aptos Narrow"/>
      <family val="2"/>
      <scheme val="minor"/>
    </font>
    <font>
      <sz val="18"/>
      <color rgb="FF000000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6"/>
      <color theme="1" tint="4.9989318521683403E-2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F9ED5"/>
        <bgColor rgb="FF0F9ED5"/>
      </patternFill>
    </fill>
    <fill>
      <patternFill patternType="solid">
        <fgColor rgb="FF83CCEB"/>
        <bgColor rgb="FF000000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4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6" borderId="5" applyNumberFormat="0" applyAlignment="0" applyProtection="0"/>
    <xf numFmtId="0" fontId="12" fillId="7" borderId="6" applyNumberFormat="0" applyAlignment="0" applyProtection="0"/>
    <xf numFmtId="0" fontId="13" fillId="7" borderId="5" applyNumberFormat="0" applyAlignment="0" applyProtection="0"/>
    <xf numFmtId="0" fontId="14" fillId="0" borderId="7" applyNumberFormat="0" applyFill="0" applyAlignment="0" applyProtection="0"/>
    <xf numFmtId="0" fontId="15" fillId="8" borderId="8" applyNumberFormat="0" applyAlignment="0" applyProtection="0"/>
    <xf numFmtId="0" fontId="16" fillId="0" borderId="0" applyNumberFormat="0" applyFill="0" applyBorder="0" applyAlignment="0" applyProtection="0"/>
    <xf numFmtId="0" fontId="3" fillId="9" borderId="9" applyNumberFormat="0" applyFont="0" applyAlignment="0" applyProtection="0"/>
    <xf numFmtId="0" fontId="17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18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18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18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18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18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18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</cellStyleXfs>
  <cellXfs count="36">
    <xf numFmtId="0" fontId="0" fillId="0" borderId="0" xfId="0"/>
    <xf numFmtId="0" fontId="0" fillId="0" borderId="0" xfId="0"/>
    <xf numFmtId="0" fontId="0" fillId="0" borderId="0" xfId="0" applyAlignment="1">
      <alignment horizontal="left" vertical="center" wrapText="1"/>
    </xf>
    <xf numFmtId="0" fontId="19" fillId="34" borderId="13" xfId="0" applyFont="1" applyFill="1" applyBorder="1"/>
    <xf numFmtId="0" fontId="0" fillId="0" borderId="0" xfId="0" applyAlignment="1">
      <alignment horizontal="left" vertical="center"/>
    </xf>
    <xf numFmtId="0" fontId="19" fillId="34" borderId="13" xfId="0" applyFont="1" applyFill="1" applyBorder="1" applyAlignment="1">
      <alignment horizontal="left" vertical="center" wrapText="1"/>
    </xf>
    <xf numFmtId="0" fontId="19" fillId="34" borderId="13" xfId="0" applyFont="1" applyFill="1" applyBorder="1" applyAlignment="1">
      <alignment wrapText="1"/>
    </xf>
    <xf numFmtId="0" fontId="19" fillId="34" borderId="11" xfId="0" applyFont="1" applyFill="1" applyBorder="1" applyAlignment="1">
      <alignment horizontal="left" vertical="center"/>
    </xf>
    <xf numFmtId="0" fontId="0" fillId="0" borderId="0" xfId="0" applyAlignment="1">
      <alignment wrapText="1"/>
    </xf>
    <xf numFmtId="0" fontId="19" fillId="34" borderId="15" xfId="0" applyFont="1" applyFill="1" applyBorder="1" applyAlignment="1">
      <alignment horizontal="left" vertical="center"/>
    </xf>
    <xf numFmtId="0" fontId="19" fillId="34" borderId="13" xfId="0" applyFont="1" applyFill="1" applyBorder="1" applyAlignment="1">
      <alignment horizontal="left" vertical="center"/>
    </xf>
    <xf numFmtId="0" fontId="20" fillId="0" borderId="0" xfId="0" applyFont="1"/>
    <xf numFmtId="0" fontId="0" fillId="0" borderId="0" xfId="0" applyAlignment="1">
      <alignment horizontal="left" vertical="top" wrapText="1"/>
    </xf>
    <xf numFmtId="0" fontId="0" fillId="0" borderId="0" xfId="0"/>
    <xf numFmtId="0" fontId="0" fillId="0" borderId="0" xfId="0" applyAlignment="1">
      <alignment wrapText="1"/>
    </xf>
    <xf numFmtId="0" fontId="19" fillId="34" borderId="13" xfId="0" applyFont="1" applyFill="1" applyBorder="1" applyAlignment="1">
      <alignment horizontal="left" vertical="center" wrapText="1"/>
    </xf>
    <xf numFmtId="0" fontId="19" fillId="34" borderId="11" xfId="0" applyFont="1" applyFill="1" applyBorder="1" applyAlignment="1">
      <alignment horizontal="left" vertical="center"/>
    </xf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22" fillId="35" borderId="0" xfId="0" applyFont="1" applyFill="1" applyAlignment="1">
      <alignment horizontal="left" vertical="top"/>
    </xf>
    <xf numFmtId="0" fontId="21" fillId="0" borderId="0" xfId="0" applyFont="1" applyAlignment="1">
      <alignment horizontal="left" vertical="top"/>
    </xf>
    <xf numFmtId="0" fontId="22" fillId="35" borderId="16" xfId="0" applyFont="1" applyFill="1" applyBorder="1" applyAlignment="1">
      <alignment horizontal="left" vertical="top"/>
    </xf>
    <xf numFmtId="0" fontId="22" fillId="35" borderId="1" xfId="0" applyFont="1" applyFill="1" applyBorder="1" applyAlignment="1">
      <alignment horizontal="left" vertical="top"/>
    </xf>
    <xf numFmtId="0" fontId="22" fillId="35" borderId="19" xfId="0" applyFont="1" applyFill="1" applyBorder="1" applyAlignment="1">
      <alignment horizontal="left" vertical="top"/>
    </xf>
    <xf numFmtId="0" fontId="22" fillId="35" borderId="18" xfId="0" applyFont="1" applyFill="1" applyBorder="1" applyAlignment="1">
      <alignment horizontal="left" vertical="top"/>
    </xf>
    <xf numFmtId="0" fontId="22" fillId="35" borderId="17" xfId="0" applyFont="1" applyFill="1" applyBorder="1" applyAlignment="1">
      <alignment horizontal="left" vertical="top"/>
    </xf>
    <xf numFmtId="0" fontId="23" fillId="35" borderId="0" xfId="0" applyFont="1" applyFill="1" applyAlignment="1">
      <alignment horizontal="left" vertical="top"/>
    </xf>
    <xf numFmtId="0" fontId="0" fillId="0" borderId="14" xfId="0" applyFont="1" applyBorder="1" applyAlignment="1">
      <alignment wrapText="1"/>
    </xf>
    <xf numFmtId="0" fontId="0" fillId="0" borderId="12" xfId="0" applyFont="1" applyBorder="1" applyAlignment="1">
      <alignment horizontal="left" vertical="top" wrapText="1"/>
    </xf>
    <xf numFmtId="0" fontId="0" fillId="0" borderId="0" xfId="0" applyFont="1" applyBorder="1" applyAlignment="1">
      <alignment horizontal="left" vertical="top" wrapText="1"/>
    </xf>
    <xf numFmtId="0" fontId="25" fillId="2" borderId="0" xfId="0" applyFont="1" applyFill="1"/>
    <xf numFmtId="0" fontId="26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24" fillId="0" borderId="0" xfId="0" applyFont="1" applyAlignment="1">
      <alignment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font>
        <strike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FFFF"/>
        <name val="Aptos Narrow"/>
        <family val="2"/>
        <scheme val="minor"/>
      </font>
      <fill>
        <patternFill patternType="solid">
          <fgColor rgb="FF0F9ED5"/>
          <bgColor rgb="FF0F9ED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FFFF"/>
        <name val="Aptos Narrow"/>
        <family val="2"/>
        <scheme val="minor"/>
      </font>
      <fill>
        <patternFill patternType="solid">
          <fgColor rgb="FF0F9ED5"/>
          <bgColor rgb="FF0F9ED5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A"/>
        <name val="Var(--font-family-base-4om3hr,"/>
        <scheme val="none"/>
      </font>
      <alignment horizontal="general" vertical="center" textRotation="0" wrapText="1" indent="0" justifyLastLine="0" shrinkToFit="0" readingOrder="0"/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A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FFFF"/>
        <name val="Aptos Narrow"/>
        <family val="2"/>
        <scheme val="minor"/>
      </font>
      <fill>
        <patternFill patternType="solid">
          <fgColor rgb="FF0F9ED5"/>
          <bgColor rgb="FF0F9ED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DBBD6AB-9B63-4432-8283-353B7534A52B}" name="LookupOptions" displayName="LookupOptions" ref="A1:A3" totalsRowShown="0" headerRowDxfId="0">
  <autoFilter ref="A1:A3" xr:uid="{9DBBD6AB-9B63-4432-8283-353B7534A52B}"/>
  <tableColumns count="1">
    <tableColumn id="1" xr3:uid="{DD46FE6A-7984-40AE-9743-A76F34EAC97D}" name="LookUpOptio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FA5D73A-B13A-4842-B8FD-9C9561880AE4}" name="DatalakeTables" displayName="DatalakeTables" ref="A1:E137" totalsRowShown="0" headerRowDxfId="9" tableBorderDxfId="12">
  <autoFilter ref="A1:E137" xr:uid="{9FA5D73A-B13A-4842-B8FD-9C9561880AE4}"/>
  <tableColumns count="5">
    <tableColumn id="1" xr3:uid="{C216F86C-1D97-4730-8055-6F0BF2B30A0F}" name="DatalakeTable" dataDxfId="11"/>
    <tableColumn id="2" xr3:uid="{F70C8EE2-6302-4D92-AC1F-E2015232A4A7}" name="DatalakeS3Location"/>
    <tableColumn id="3" xr3:uid="{7264B835-9E61-4FD6-837E-28EE706ADD75}" name="DatalakeCrawler"/>
    <tableColumn id="4" xr3:uid="{464EBBC9-3B80-47D5-AD46-5B27BDD74524}" name="DatalakeGlueJob"/>
    <tableColumn id="5" xr3:uid="{7B340DC5-ACDE-4B23-98CE-BBC09D475BE5}" name="DatalakeControlM" dataDxfId="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CD9F719-B369-44E4-A3FF-BE6D484DDE37}" name="BaseTables" displayName="BaseTables" ref="A1:F28" totalsRowShown="0" headerRowDxfId="1" dataDxfId="2">
  <autoFilter ref="A1:F28" xr:uid="{8CD9F719-B369-44E4-A3FF-BE6D484DDE37}"/>
  <tableColumns count="6">
    <tableColumn id="1" xr3:uid="{B414023D-1677-425C-82AE-252D1B298F4B}" name="BaseTable" dataDxfId="8"/>
    <tableColumn id="2" xr3:uid="{46B7FE30-CB80-47EB-9AAF-640FFB05BE73}" name="BaseS3Location" dataDxfId="7"/>
    <tableColumn id="3" xr3:uid="{19DAA33B-18DC-47E0-9BA6-26A8EA6E210C}" name="BaseCrawler" dataDxfId="6"/>
    <tableColumn id="4" xr3:uid="{989345D8-8932-4317-AB1B-EA761389DFFE}" name="BaseGlueJob" dataDxfId="5"/>
    <tableColumn id="5" xr3:uid="{B174DECC-DB30-413D-A727-82E90266802D}" name="BaseControlM" dataDxfId="4"/>
    <tableColumn id="6" xr3:uid="{3276E314-E907-4BAF-A01A-2D4309D58588}" name="Helper Tables" dataDxfId="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E5B728-431C-449A-8BFB-340271F09B16}" name="MasterTables" displayName="MasterTables" ref="A1:H3" totalsRowShown="0" headerRowDxfId="14">
  <autoFilter ref="A1:H3" xr:uid="{7CE5B728-431C-449A-8BFB-340271F09B16}"/>
  <tableColumns count="8">
    <tableColumn id="1" xr3:uid="{149450DD-417A-492B-8AC6-CD0F8F19F483}" name="MasterTable" dataDxfId="13"/>
    <tableColumn id="2" xr3:uid="{1338E0F7-4455-4F46-B061-1B3EB96AAEC0}" name="MasterS3Location"/>
    <tableColumn id="3" xr3:uid="{6CC605AB-FD58-4F17-83BF-3530B6E8CC13}" name="MasterCrawler"/>
    <tableColumn id="4" xr3:uid="{4F4158B4-0307-480A-AA32-2DCFB9A00606}" name="MasterGlueJob"/>
    <tableColumn id="5" xr3:uid="{0B0717F2-6132-43A3-A1C6-6A05E553D0EF}" name="MasterControlM"/>
    <tableColumn id="6" xr3:uid="{34A67982-47F4-47CC-947D-372EF6705704}" name="Helper Tables"/>
    <tableColumn id="7" xr3:uid="{6F3638DF-C181-405A-AAEB-12EDED6AC704}" name="SFTP Job"/>
    <tableColumn id="8" xr3:uid="{06C52FC2-B3DB-4886-A2F5-A41EE6A82901}" name="SFTP Loc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B2741-0E3C-41C0-97F3-CEF9C39DFC96}">
  <dimension ref="B2:H18"/>
  <sheetViews>
    <sheetView tabSelected="1" workbookViewId="0">
      <selection activeCell="D6" sqref="D6"/>
    </sheetView>
  </sheetViews>
  <sheetFormatPr defaultColWidth="9.28515625" defaultRowHeight="15"/>
  <cols>
    <col min="1" max="1" width="9.28515625" style="34"/>
    <col min="2" max="2" width="38" style="34" customWidth="1"/>
    <col min="3" max="3" width="9.28515625" style="34"/>
    <col min="4" max="4" width="86.7109375" style="34" customWidth="1"/>
    <col min="5" max="5" width="65.5703125" style="34" customWidth="1"/>
    <col min="6" max="6" width="62.85546875" style="34" bestFit="1" customWidth="1"/>
    <col min="7" max="7" width="9.28515625" style="34"/>
    <col min="8" max="8" width="60.5703125" style="34" customWidth="1"/>
    <col min="9" max="16384" width="9.28515625" style="34"/>
  </cols>
  <sheetData>
    <row r="2" spans="2:8" ht="24">
      <c r="B2" s="27" t="s">
        <v>426</v>
      </c>
    </row>
    <row r="3" spans="2:8" ht="24">
      <c r="B3" s="35" t="s">
        <v>428</v>
      </c>
    </row>
    <row r="5" spans="2:8" ht="21">
      <c r="B5" s="20" t="s">
        <v>414</v>
      </c>
      <c r="C5" s="21"/>
      <c r="D5" s="22" t="s">
        <v>416</v>
      </c>
      <c r="E5" s="22" t="s">
        <v>417</v>
      </c>
      <c r="H5" s="22" t="s">
        <v>415</v>
      </c>
    </row>
    <row r="6" spans="2:8" ht="95.25" customHeight="1">
      <c r="B6" s="34" t="s">
        <v>266</v>
      </c>
      <c r="D6" s="33" t="str" cm="1">
        <f t="array" ref="D6">IF(LookUpFinalOption="Base", TableName,
   IF(LookUpFinalOption="Master",
      IFERROR(_xlfn._xlws.FILTER(MasterTables[Helper Tables], MasterTables[MasterTable]=TableName), "Not Found"),
   "None"))</f>
        <v>dss_tblstudentinfo</v>
      </c>
      <c r="E6" s="34" t="str" cm="1">
        <f t="array" ref="E6">IF(LookUpFinalOption="Master", IFERROR(_xlfn._xlws.FILTER(MasterTables[MasterTable], MasterTables[MasterTable]=TableName), "Not Found"), "None")</f>
        <v>marketing_extract</v>
      </c>
      <c r="H6" s="29" t="str">
        <f>Formulas!B8</f>
        <v>dss_caautoclubsocal201229_tblstudentinfo, 
dss_caautoclubtexas210622_tblstudentinfo, 
dss_meaaamaine211013_tblstudentinfo, 
dss_nhaaanh211015_tblstudentinfo, 
dss_ohautoclubohio220913_tblstudentinfo</v>
      </c>
    </row>
    <row r="7" spans="2:8">
      <c r="H7" s="30"/>
    </row>
    <row r="8" spans="2:8">
      <c r="H8" s="30"/>
    </row>
    <row r="9" spans="2:8">
      <c r="H9" s="30"/>
    </row>
    <row r="10" spans="2:8" ht="21">
      <c r="D10" s="22" t="s">
        <v>418</v>
      </c>
      <c r="E10" s="23" t="s">
        <v>419</v>
      </c>
      <c r="F10" s="23" t="s">
        <v>420</v>
      </c>
      <c r="H10" s="30"/>
    </row>
    <row r="11" spans="2:8" ht="84.75" customHeight="1">
      <c r="D11" s="34" t="str">
        <f>Datalake!C2</f>
        <v>ace_da_dss_datalake</v>
      </c>
      <c r="E11" s="33" t="str">
        <f>Formulas!B11</f>
        <v>ace-da-dss-base-tblstudentinfo</v>
      </c>
      <c r="F11" s="34" t="str" cm="1">
        <f t="array" ref="F11">IF(LookUpFinalOption="Master", IFERROR(_xlfn._xlws.FILTER(MasterTables[MasterGlueJob], MasterTables[MasterTable]=TableName), "Not Found"), "None")</f>
        <v>ace-da-dss-student-master</v>
      </c>
      <c r="H11" s="30"/>
    </row>
    <row r="12" spans="2:8">
      <c r="H12" s="30"/>
    </row>
    <row r="13" spans="2:8" ht="21">
      <c r="D13" s="24" t="s">
        <v>421</v>
      </c>
      <c r="E13" s="25" t="s">
        <v>422</v>
      </c>
      <c r="F13" s="22" t="s">
        <v>423</v>
      </c>
      <c r="H13" s="30"/>
    </row>
    <row r="14" spans="2:8" ht="120">
      <c r="D14" s="34" t="str">
        <f>Datalake!E2</f>
        <v>ace-da-dss-staging-to-datalake</v>
      </c>
      <c r="E14" s="12" t="str">
        <f>Formulas!B14</f>
        <v>DEO1104O_DSS_AWS_TBLSTUDENTINFO_TO_AWS_BASE_LOAD</v>
      </c>
      <c r="F14" s="34" t="str" cm="1">
        <f t="array" ref="F14">IF(LookUpFinalOption="Master", IFERROR(_xlfn._xlws.FILTER(MasterTables[MasterControlM], MasterTables[MasterTable]=TableName), "Not Found"), "None")</f>
        <v>DEO1151O_DSS_STUDENT_MASTER_TO_AWS_MASTER_LOAD</v>
      </c>
      <c r="H14" s="30"/>
    </row>
    <row r="15" spans="2:8">
      <c r="H15" s="30"/>
    </row>
    <row r="16" spans="2:8" ht="21">
      <c r="D16" s="22" t="s">
        <v>424</v>
      </c>
      <c r="E16" s="26" t="s">
        <v>425</v>
      </c>
      <c r="H16" s="30"/>
    </row>
    <row r="17" spans="4:8">
      <c r="D17" s="34" t="str" cm="1">
        <f t="array" ref="D17">IF(LookUpFinalOption="Master", IFERROR(_xlfn._xlws.FILTER(MasterTables[SFTP Job], MasterTables[MasterTable]=TableName), "Not Found"), "None")</f>
        <v>MCE1428O_DSS_MktgFile_AWS_TO_Hadoop</v>
      </c>
      <c r="E17" s="34" t="str" cm="1">
        <f t="array" ref="E17">IF(LookUpFinalOption="Master", IFERROR(_xlfn._xlws.FILTER(MasterTables[SFTP Location], MasterTables[MasterTable]=TableName), "Not Found"), "None")</f>
        <v>/workspace/projects/dss/sh_scripts/marketing_sftp.sh</v>
      </c>
      <c r="H17" s="30"/>
    </row>
    <row r="18" spans="4:8" ht="111" customHeight="1">
      <c r="H18" s="30"/>
    </row>
  </sheetData>
  <mergeCells count="1">
    <mergeCell ref="H6:H18"/>
  </mergeCells>
  <dataValidations count="2">
    <dataValidation type="list" allowBlank="1" showInputMessage="1" showErrorMessage="1" sqref="B3" xr:uid="{023591A6-C99B-40A4-AB6A-A77DBC557A04}">
      <formula1>INDIRECT("LookupOptions[LookUpOptions]")</formula1>
    </dataValidation>
    <dataValidation type="list" allowBlank="1" showInputMessage="1" showErrorMessage="1" sqref="B6" xr:uid="{38CA5D90-F758-4984-86FC-B54F471319CE}">
      <formula1>INDIRECT(IF(B3="Base", "BaseTables[BaseTable]", IF(B3="Master", "MasterTables[MasterTable]", "")))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66D6A-6CBF-41A7-BA57-295B1958E389}">
  <dimension ref="A1:K18"/>
  <sheetViews>
    <sheetView topLeftCell="A4" workbookViewId="0">
      <selection activeCell="D14" sqref="D14"/>
    </sheetView>
  </sheetViews>
  <sheetFormatPr defaultRowHeight="15"/>
  <cols>
    <col min="1" max="1" width="31.7109375" customWidth="1"/>
    <col min="2" max="2" width="55.85546875" customWidth="1"/>
    <col min="3" max="3" width="5" customWidth="1"/>
    <col min="4" max="4" width="4" customWidth="1"/>
    <col min="5" max="5" width="2.42578125" customWidth="1"/>
    <col min="6" max="6" width="3" customWidth="1"/>
    <col min="7" max="7" width="19.42578125" customWidth="1"/>
    <col min="9" max="9" width="60.85546875" customWidth="1"/>
    <col min="10" max="10" width="36.42578125" bestFit="1" customWidth="1"/>
    <col min="11" max="11" width="63.140625" bestFit="1" customWidth="1"/>
  </cols>
  <sheetData>
    <row r="1" spans="1:11" ht="77.25">
      <c r="A1" s="32" t="s">
        <v>426</v>
      </c>
      <c r="G1" t="str" cm="1">
        <f t="array" ref="G1">TRANSPOSE(_xlfn.TEXTSPLIT(CLEAN(TRIM(B7)), ","))</f>
        <v>dss_tblstudentinfo</v>
      </c>
      <c r="H1" t="b">
        <f>IF(ISBLANK(G1), FALSE, TRUE)</f>
        <v>1</v>
      </c>
      <c r="I1" s="18" t="str" cm="1">
        <f t="array" ref="I1">IF(G1&lt;&gt;"", _xlfn._xlws.FILTER(BaseTables[Helper Tables], BaseTables[BaseTable]=G1, "No Match"))</f>
        <v>dss_caautoclubsocal201229_tblstudentinfo, 
dss_caautoclubtexas210622_tblstudentinfo, 
dss_meaaamaine211013_tblstudentinfo, 
dss_nhaaanh211015_tblstudentinfo, 
dss_ohautoclubohio220913_tblstudentinfo</v>
      </c>
      <c r="J1" t="str" cm="1">
        <f t="array" ref="J1">IF(G1&lt;&gt;"", _xlfn._xlws.FILTER(BaseTables[BaseGlueJob], BaseTables[BaseTable]=G1, "No Match"))</f>
        <v>ace-da-dss-base-tblstudentinfo</v>
      </c>
      <c r="K1" t="str" cm="1">
        <f t="array" ref="K1">IF(G1&lt;&gt;"", _xlfn._xlws.FILTER(BaseTables[BaseControlM], BaseTables[BaseTable]=G1, "No Match"))</f>
        <v>DEO1104O_DSS_AWS_TBLSTUDENTINFO_TO_AWS_BASE_LOAD</v>
      </c>
    </row>
    <row r="2" spans="1:11" ht="75">
      <c r="A2" t="s">
        <v>427</v>
      </c>
      <c r="H2" s="17" t="b">
        <f t="shared" ref="H2:H18" si="0">IF(ISBLANK(G2), FALSE, TRUE)</f>
        <v>0</v>
      </c>
      <c r="I2" s="18" t="b" cm="1">
        <f t="array" ref="I2">IF(G2&lt;&gt;"", _xlfn._xlws.FILTER(BaseTables[Helper Tables], BaseTables[BaseTable]=G2, "No Match"))</f>
        <v>0</v>
      </c>
      <c r="J2" s="17" t="b" cm="1">
        <f t="array" ref="J2">IF(G2&lt;&gt;"", _xlfn._xlws.FILTER(BaseTables[BaseGlueJob], BaseTables[BaseTable]=G2, "No Match"))</f>
        <v>0</v>
      </c>
      <c r="K2" s="17" t="b" cm="1">
        <f t="array" ref="K2">IF(G2&lt;&gt;"", _xlfn._xlws.FILTER(BaseTables[BaseControlM], BaseTables[BaseTable]=G2, "No Match"))</f>
        <v>0</v>
      </c>
    </row>
    <row r="3" spans="1:11" ht="75">
      <c r="A3" t="s">
        <v>428</v>
      </c>
      <c r="H3" s="17" t="b">
        <f t="shared" si="0"/>
        <v>0</v>
      </c>
      <c r="I3" s="18" t="b" cm="1">
        <f t="array" ref="I3">IF(G3&lt;&gt;"", _xlfn._xlws.FILTER(BaseTables[Helper Tables], BaseTables[BaseTable]=G3, "No Match"))</f>
        <v>0</v>
      </c>
      <c r="J3" s="17" t="b" cm="1">
        <f t="array" ref="J3">IF(G3&lt;&gt;"", _xlfn._xlws.FILTER(BaseTables[BaseGlueJob], BaseTables[BaseTable]=G3, "No Match"))</f>
        <v>0</v>
      </c>
      <c r="K3" s="17" t="b" cm="1">
        <f t="array" ref="K3">IF(G3&lt;&gt;"", _xlfn._xlws.FILTER(BaseTables[BaseControlM], BaseTables[BaseTable]=G3, "No Match"))</f>
        <v>0</v>
      </c>
    </row>
    <row r="4" spans="1:11" ht="75">
      <c r="H4" s="17" t="b">
        <f t="shared" si="0"/>
        <v>0</v>
      </c>
      <c r="I4" s="18" t="b" cm="1">
        <f t="array" ref="I4">IF(G4&lt;&gt;"", _xlfn._xlws.FILTER(BaseTables[Helper Tables], BaseTables[BaseTable]=G4, "No Match"))</f>
        <v>0</v>
      </c>
      <c r="J4" s="17" t="b" cm="1">
        <f t="array" ref="J4">IF(G4&lt;&gt;"", _xlfn._xlws.FILTER(BaseTables[BaseGlueJob], BaseTables[BaseTable]=G4, "No Match"))</f>
        <v>0</v>
      </c>
      <c r="K4" s="17" t="b" cm="1">
        <f t="array" ref="K4">IF(G4&lt;&gt;"", _xlfn._xlws.FILTER(BaseTables[BaseControlM], BaseTables[BaseTable]=G4, "No Match"))</f>
        <v>0</v>
      </c>
    </row>
    <row r="5" spans="1:11" ht="75">
      <c r="H5" s="17" t="b">
        <f t="shared" si="0"/>
        <v>0</v>
      </c>
      <c r="I5" s="18" t="b" cm="1">
        <f t="array" ref="I5">IF(G5&lt;&gt;"", _xlfn._xlws.FILTER(BaseTables[Helper Tables], BaseTables[BaseTable]=G5, "No Match"))</f>
        <v>0</v>
      </c>
      <c r="J5" s="17" t="b" cm="1">
        <f t="array" ref="J5">IF(G5&lt;&gt;"", _xlfn._xlws.FILTER(BaseTables[BaseGlueJob], BaseTables[BaseTable]=G5, "No Match"))</f>
        <v>0</v>
      </c>
      <c r="K5" s="17" t="b" cm="1">
        <f t="array" ref="K5">IF(G5&lt;&gt;"", _xlfn._xlws.FILTER(BaseTables[BaseControlM], BaseTables[BaseTable]=G5, "No Match"))</f>
        <v>0</v>
      </c>
    </row>
    <row r="6" spans="1:11" ht="21">
      <c r="B6" s="31" t="s">
        <v>431</v>
      </c>
      <c r="H6" s="17" t="b">
        <f t="shared" si="0"/>
        <v>0</v>
      </c>
      <c r="I6" s="17" t="b" cm="1">
        <f t="array" ref="I6">IF(G6&lt;&gt;"", _xlfn._xlws.FILTER(BaseTables[Helper Tables], BaseTables[BaseTable]=G6, "No Match"))</f>
        <v>0</v>
      </c>
      <c r="J6" s="17" t="b" cm="1">
        <f t="array" ref="J6">IF(G6&lt;&gt;"", _xlfn._xlws.FILTER(BaseTables[BaseGlueJob], BaseTables[BaseTable]=G6, "No Match"))</f>
        <v>0</v>
      </c>
      <c r="K6" s="17" t="b" cm="1">
        <f t="array" ref="K6">IF(G6&lt;&gt;"", _xlfn._xlws.FILTER(BaseTables[BaseControlM], BaseTables[BaseTable]=G6, "No Match"))</f>
        <v>0</v>
      </c>
    </row>
    <row r="7" spans="1:11">
      <c r="B7" s="17" t="str">
        <f>'LookUp Sheet'!D6</f>
        <v>dss_tblstudentinfo</v>
      </c>
      <c r="G7" s="14"/>
      <c r="H7" s="17" t="b">
        <f t="shared" si="0"/>
        <v>0</v>
      </c>
      <c r="I7" s="17" t="b" cm="1">
        <f t="array" ref="I7">IF(G7&lt;&gt;"", _xlfn._xlws.FILTER(BaseTables[Helper Tables], BaseTables[BaseTable]=G7, "No Match"))</f>
        <v>0</v>
      </c>
      <c r="J7" s="17" t="b" cm="1">
        <f t="array" ref="J7">IF(G7&lt;&gt;"", _xlfn._xlws.FILTER(BaseTables[BaseGlueJob], BaseTables[BaseTable]=G7, "No Match"))</f>
        <v>0</v>
      </c>
      <c r="K7" s="17" t="b" cm="1">
        <f t="array" ref="K7">IF(G7&lt;&gt;"", _xlfn._xlws.FILTER(BaseTables[BaseControlM], BaseTables[BaseTable]=G7, "No Match"))</f>
        <v>0</v>
      </c>
    </row>
    <row r="8" spans="1:11">
      <c r="B8" t="str" cm="1">
        <f t="array" ref="B8">_xlfn.TEXTJOIN(CHAR(10), TRUE, _xlfn._xlws.FILTER(Formulas!I1:I18, (Formulas!I1:I18&lt;&gt;FALSE)*(Formulas!I1:I18&lt;&gt;"FALSE")))</f>
        <v>dss_caautoclubsocal201229_tblstudentinfo, 
dss_caautoclubtexas210622_tblstudentinfo, 
dss_meaaamaine211013_tblstudentinfo, 
dss_nhaaanh211015_tblstudentinfo, 
dss_ohautoclubohio220913_tblstudentinfo</v>
      </c>
      <c r="H8" s="17" t="b">
        <f t="shared" si="0"/>
        <v>0</v>
      </c>
      <c r="I8" s="17" t="b" cm="1">
        <f t="array" ref="I8">IF(G8&lt;&gt;"", _xlfn._xlws.FILTER(BaseTables[Helper Tables], BaseTables[BaseTable]=G8, "No Match"))</f>
        <v>0</v>
      </c>
      <c r="J8" s="17" t="b" cm="1">
        <f t="array" ref="J8">IF(G8&lt;&gt;"", _xlfn._xlws.FILTER(BaseTables[BaseGlueJob], BaseTables[BaseTable]=G8, "No Match"))</f>
        <v>0</v>
      </c>
      <c r="K8" s="17" t="b" cm="1">
        <f t="array" ref="K8">IF(G8&lt;&gt;"", _xlfn._xlws.FILTER(BaseTables[BaseControlM], BaseTables[BaseTable]=G8, "No Match"))</f>
        <v>0</v>
      </c>
    </row>
    <row r="9" spans="1:11">
      <c r="H9" s="17" t="b">
        <f t="shared" si="0"/>
        <v>0</v>
      </c>
      <c r="I9" s="17" t="b" cm="1">
        <f t="array" ref="I9">IF(G9&lt;&gt;"", _xlfn._xlws.FILTER(BaseTables[Helper Tables], BaseTables[BaseTable]=G9, "No Match"))</f>
        <v>0</v>
      </c>
      <c r="J9" s="17" t="b" cm="1">
        <f t="array" ref="J9">IF(G9&lt;&gt;"", _xlfn._xlws.FILTER(BaseTables[BaseGlueJob], BaseTables[BaseTable]=G9, "No Match"))</f>
        <v>0</v>
      </c>
      <c r="K9" s="17" t="b" cm="1">
        <f t="array" ref="K9">IF(G9&lt;&gt;"", _xlfn._xlws.FILTER(BaseTables[BaseControlM], BaseTables[BaseTable]=G9, "No Match"))</f>
        <v>0</v>
      </c>
    </row>
    <row r="10" spans="1:11" ht="21">
      <c r="B10" s="31" t="s">
        <v>432</v>
      </c>
      <c r="C10" s="18"/>
      <c r="G10" s="17"/>
      <c r="H10" s="17" t="b">
        <f t="shared" si="0"/>
        <v>0</v>
      </c>
      <c r="I10" s="17" t="b" cm="1">
        <f t="array" ref="I10">IF(G10&lt;&gt;"", _xlfn._xlws.FILTER(BaseTables[Helper Tables], BaseTables[BaseTable]=G10, "No Match"))</f>
        <v>0</v>
      </c>
      <c r="J10" s="17" t="b" cm="1">
        <f t="array" ref="J10">IF(G10&lt;&gt;"", _xlfn._xlws.FILTER(BaseTables[BaseGlueJob], BaseTables[BaseTable]=G10, "No Match"))</f>
        <v>0</v>
      </c>
      <c r="K10" s="17" t="b" cm="1">
        <f t="array" ref="K10">IF(G10&lt;&gt;"", _xlfn._xlws.FILTER(BaseTables[BaseControlM], BaseTables[BaseTable]=G10, "No Match"))</f>
        <v>0</v>
      </c>
    </row>
    <row r="11" spans="1:11" ht="60">
      <c r="B11" s="18" t="str" cm="1">
        <f t="array" ref="B11">_xlfn.TEXTJOIN("," &amp; CHAR(10), TRUE, _xlfn.UNIQUE(_xlfn._xlws.FILTER(Formulas!J1:J18, (Formulas!J1:J18&lt;&gt;FALSE)*(Formulas!J1:J18&lt;&gt;"FALSE"))))</f>
        <v>ace-da-dss-base-tblstudentinfo</v>
      </c>
      <c r="H11" s="17" t="b">
        <f t="shared" si="0"/>
        <v>0</v>
      </c>
      <c r="I11" s="17" t="b" cm="1">
        <f t="array" ref="I11">IF(G11&lt;&gt;"", _xlfn._xlws.FILTER(BaseTables[Helper Tables], BaseTables[BaseTable]=G11, "No Match"))</f>
        <v>0</v>
      </c>
      <c r="J11" s="17" t="b" cm="1">
        <f t="array" ref="J11">IF(G11&lt;&gt;"", _xlfn._xlws.FILTER(BaseTables[BaseGlueJob], BaseTables[BaseTable]=G11, "No Match"))</f>
        <v>0</v>
      </c>
      <c r="K11" s="17" t="b" cm="1">
        <f t="array" ref="K11">IF(G11&lt;&gt;"", _xlfn._xlws.FILTER(BaseTables[BaseControlM], BaseTables[BaseTable]=G11, "No Match"))</f>
        <v>0</v>
      </c>
    </row>
    <row r="12" spans="1:11">
      <c r="H12" s="17" t="b">
        <f t="shared" si="0"/>
        <v>0</v>
      </c>
      <c r="I12" s="17" t="b" cm="1">
        <f t="array" ref="I12">IF(G12&lt;&gt;"", _xlfn._xlws.FILTER(BaseTables[Helper Tables], BaseTables[BaseTable]=G12, "No Match"))</f>
        <v>0</v>
      </c>
      <c r="J12" s="17" t="b" cm="1">
        <f t="array" ref="J12">IF(G12&lt;&gt;"", _xlfn._xlws.FILTER(BaseTables[BaseGlueJob], BaseTables[BaseTable]=G12, "No Match"))</f>
        <v>0</v>
      </c>
      <c r="K12" s="17" t="b" cm="1">
        <f t="array" ref="K12">IF(G12&lt;&gt;"", _xlfn._xlws.FILTER(BaseTables[BaseControlM], BaseTables[BaseTable]=G12, "No Match"))</f>
        <v>0</v>
      </c>
    </row>
    <row r="13" spans="1:11" ht="21">
      <c r="B13" s="31" t="s">
        <v>433</v>
      </c>
      <c r="H13" s="17" t="b">
        <f t="shared" si="0"/>
        <v>0</v>
      </c>
      <c r="I13" s="17" t="b" cm="1">
        <f t="array" ref="I13">IF(G13&lt;&gt;"", _xlfn._xlws.FILTER(BaseTables[Helper Tables], BaseTables[BaseTable]=G13, "No Match"))</f>
        <v>0</v>
      </c>
      <c r="J13" s="17" t="b" cm="1">
        <f t="array" ref="J13">IF(G13&lt;&gt;"", _xlfn._xlws.FILTER(BaseTables[BaseGlueJob], BaseTables[BaseTable]=G13, "No Match"))</f>
        <v>0</v>
      </c>
      <c r="K13" s="17" t="b" cm="1">
        <f t="array" ref="K13">IF(G13&lt;&gt;"", _xlfn._xlws.FILTER(BaseTables[BaseControlM], BaseTables[BaseTable]=G13, "No Match"))</f>
        <v>0</v>
      </c>
    </row>
    <row r="14" spans="1:11" ht="150">
      <c r="B14" s="18" t="str" cm="1">
        <f t="array" ref="B14">_xlfn.TEXTJOIN("," &amp; CHAR(10), TRUE, _xlfn.UNIQUE(_xlfn._xlws.FILTER(Formulas!K1:K18, (Formulas!K1:K18&lt;&gt;FALSE)*(Formulas!K1:K18&lt;&gt;"FALSE"))))</f>
        <v>DEO1104O_DSS_AWS_TBLSTUDENTINFO_TO_AWS_BASE_LOAD</v>
      </c>
      <c r="H14" s="17" t="b">
        <f t="shared" si="0"/>
        <v>0</v>
      </c>
      <c r="I14" s="17" t="b" cm="1">
        <f t="array" ref="I14">IF(G14&lt;&gt;"", _xlfn._xlws.FILTER(BaseTables[Helper Tables], BaseTables[BaseTable]=G14, "No Match"))</f>
        <v>0</v>
      </c>
      <c r="J14" s="17" t="b" cm="1">
        <f t="array" ref="J14">IF(G14&lt;&gt;"", _xlfn._xlws.FILTER(BaseTables[BaseGlueJob], BaseTables[BaseTable]=G14, "No Match"))</f>
        <v>0</v>
      </c>
      <c r="K14" s="17" t="b" cm="1">
        <f t="array" ref="K14">IF(G14&lt;&gt;"", _xlfn._xlws.FILTER(BaseTables[BaseControlM], BaseTables[BaseTable]=G14, "No Match"))</f>
        <v>0</v>
      </c>
    </row>
    <row r="15" spans="1:11">
      <c r="H15" s="17" t="b">
        <f t="shared" si="0"/>
        <v>0</v>
      </c>
      <c r="I15" s="17" t="b" cm="1">
        <f t="array" ref="I15">IF(G15&lt;&gt;"", _xlfn._xlws.FILTER(BaseTables[Helper Tables], BaseTables[BaseTable]=G15, "No Match"))</f>
        <v>0</v>
      </c>
      <c r="J15" s="17" t="b" cm="1">
        <f t="array" ref="J15">IF(G15&lt;&gt;"", _xlfn._xlws.FILTER(BaseTables[BaseGlueJob], BaseTables[BaseTable]=G15, "No Match"))</f>
        <v>0</v>
      </c>
      <c r="K15" s="17" t="b" cm="1">
        <f t="array" ref="K15">IF(G15&lt;&gt;"", _xlfn._xlws.FILTER(BaseTables[BaseControlM], BaseTables[BaseTable]=G15, "No Match"))</f>
        <v>0</v>
      </c>
    </row>
    <row r="16" spans="1:11">
      <c r="H16" s="17" t="b">
        <f t="shared" si="0"/>
        <v>0</v>
      </c>
      <c r="I16" s="17" t="b" cm="1">
        <f t="array" ref="I16">IF(G16&lt;&gt;"", _xlfn._xlws.FILTER(BaseTables[Helper Tables], BaseTables[BaseTable]=G16, "No Match"))</f>
        <v>0</v>
      </c>
      <c r="J16" s="17" t="b" cm="1">
        <f t="array" ref="J16">IF(G16&lt;&gt;"", _xlfn._xlws.FILTER(BaseTables[BaseGlueJob], BaseTables[BaseTable]=G16, "No Match"))</f>
        <v>0</v>
      </c>
      <c r="K16" s="17" t="b" cm="1">
        <f t="array" ref="K16">IF(G16&lt;&gt;"", _xlfn._xlws.FILTER(BaseTables[BaseControlM], BaseTables[BaseTable]=G16, "No Match"))</f>
        <v>0</v>
      </c>
    </row>
    <row r="17" spans="8:11">
      <c r="H17" s="17" t="b">
        <f t="shared" si="0"/>
        <v>0</v>
      </c>
      <c r="I17" s="17" t="b" cm="1">
        <f t="array" ref="I17">IF(G17&lt;&gt;"", _xlfn._xlws.FILTER(BaseTables[Helper Tables], BaseTables[BaseTable]=G17, "No Match"))</f>
        <v>0</v>
      </c>
      <c r="J17" s="17" t="b" cm="1">
        <f t="array" ref="J17">IF(G17&lt;&gt;"", _xlfn._xlws.FILTER(BaseTables[BaseGlueJob], BaseTables[BaseTable]=G17, "No Match"))</f>
        <v>0</v>
      </c>
      <c r="K17" s="17" t="b" cm="1">
        <f t="array" ref="K17">IF(G17&lt;&gt;"", _xlfn._xlws.FILTER(BaseTables[BaseControlM], BaseTables[BaseTable]=G17, "No Match"))</f>
        <v>0</v>
      </c>
    </row>
    <row r="18" spans="8:11">
      <c r="H18" s="17" t="b">
        <f t="shared" si="0"/>
        <v>0</v>
      </c>
      <c r="I18" s="17" t="b" cm="1">
        <f t="array" ref="I18">IF(G18&lt;&gt;"", _xlfn._xlws.FILTER(BaseTables[Helper Tables], BaseTables[BaseTable]=G18, "No Match"))</f>
        <v>0</v>
      </c>
      <c r="J18" s="17" t="b" cm="1">
        <f t="array" ref="J18">IF(G18&lt;&gt;"", _xlfn._xlws.FILTER(BaseTables[BaseGlueJob], BaseTables[BaseTable]=G18, "No Match"))</f>
        <v>0</v>
      </c>
      <c r="K18" s="17" t="b" cm="1">
        <f t="array" ref="K18">IF(G18&lt;&gt;"", _xlfn._xlws.FILTER(BaseTables[BaseControlM], BaseTables[BaseTable]=G18, "No Match"))</f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02FD8-0E06-469A-8025-484882358F4B}">
  <dimension ref="A1:E137"/>
  <sheetViews>
    <sheetView topLeftCell="A115" workbookViewId="0">
      <selection activeCell="E137" sqref="D136:E137"/>
    </sheetView>
  </sheetViews>
  <sheetFormatPr defaultRowHeight="15"/>
  <cols>
    <col min="1" max="1" width="53.140625" bestFit="1" customWidth="1"/>
    <col min="2" max="2" width="109.42578125" bestFit="1" customWidth="1"/>
    <col min="3" max="3" width="23.85546875" customWidth="1"/>
    <col min="4" max="5" width="29.7109375" bestFit="1" customWidth="1"/>
  </cols>
  <sheetData>
    <row r="1" spans="1:5" ht="21">
      <c r="A1" s="3" t="s">
        <v>232</v>
      </c>
      <c r="B1" s="3" t="s">
        <v>274</v>
      </c>
      <c r="C1" s="3" t="s">
        <v>275</v>
      </c>
      <c r="D1" s="3" t="s">
        <v>276</v>
      </c>
      <c r="E1" s="6" t="s">
        <v>277</v>
      </c>
    </row>
    <row r="2" spans="1:5">
      <c r="A2" s="17" t="s">
        <v>31</v>
      </c>
      <c r="B2" s="17" t="s">
        <v>278</v>
      </c>
      <c r="C2" s="17" t="s">
        <v>279</v>
      </c>
      <c r="D2" s="17" t="s">
        <v>280</v>
      </c>
      <c r="E2" s="18" t="s">
        <v>280</v>
      </c>
    </row>
    <row r="3" spans="1:5">
      <c r="A3" s="17" t="s">
        <v>32</v>
      </c>
      <c r="B3" s="17" t="s">
        <v>281</v>
      </c>
      <c r="C3" s="17" t="s">
        <v>279</v>
      </c>
      <c r="D3" s="17" t="s">
        <v>280</v>
      </c>
      <c r="E3" s="18" t="s">
        <v>280</v>
      </c>
    </row>
    <row r="4" spans="1:5">
      <c r="A4" s="17" t="s">
        <v>33</v>
      </c>
      <c r="B4" s="17" t="s">
        <v>282</v>
      </c>
      <c r="C4" s="17" t="s">
        <v>279</v>
      </c>
      <c r="D4" s="17" t="s">
        <v>280</v>
      </c>
      <c r="E4" s="18" t="s">
        <v>280</v>
      </c>
    </row>
    <row r="5" spans="1:5">
      <c r="A5" s="17" t="s">
        <v>34</v>
      </c>
      <c r="B5" s="17" t="s">
        <v>283</v>
      </c>
      <c r="C5" s="17" t="s">
        <v>279</v>
      </c>
      <c r="D5" s="17" t="s">
        <v>280</v>
      </c>
      <c r="E5" s="18" t="s">
        <v>280</v>
      </c>
    </row>
    <row r="6" spans="1:5">
      <c r="A6" s="17" t="s">
        <v>35</v>
      </c>
      <c r="B6" s="17" t="s">
        <v>284</v>
      </c>
      <c r="C6" s="17" t="s">
        <v>279</v>
      </c>
      <c r="D6" s="17" t="s">
        <v>280</v>
      </c>
      <c r="E6" s="18" t="s">
        <v>280</v>
      </c>
    </row>
    <row r="7" spans="1:5">
      <c r="A7" s="17" t="s">
        <v>36</v>
      </c>
      <c r="B7" s="17" t="s">
        <v>285</v>
      </c>
      <c r="C7" s="17" t="s">
        <v>279</v>
      </c>
      <c r="D7" s="17" t="s">
        <v>280</v>
      </c>
      <c r="E7" s="18" t="s">
        <v>280</v>
      </c>
    </row>
    <row r="8" spans="1:5">
      <c r="A8" s="17" t="s">
        <v>37</v>
      </c>
      <c r="B8" s="17" t="s">
        <v>286</v>
      </c>
      <c r="C8" s="17" t="s">
        <v>279</v>
      </c>
      <c r="D8" s="17" t="s">
        <v>280</v>
      </c>
      <c r="E8" s="18" t="s">
        <v>280</v>
      </c>
    </row>
    <row r="9" spans="1:5">
      <c r="A9" s="17" t="s">
        <v>38</v>
      </c>
      <c r="B9" s="17" t="s">
        <v>287</v>
      </c>
      <c r="C9" s="17" t="s">
        <v>279</v>
      </c>
      <c r="D9" s="17" t="s">
        <v>280</v>
      </c>
      <c r="E9" s="18" t="s">
        <v>280</v>
      </c>
    </row>
    <row r="10" spans="1:5">
      <c r="A10" s="17" t="s">
        <v>39</v>
      </c>
      <c r="B10" s="17" t="s">
        <v>288</v>
      </c>
      <c r="C10" s="17" t="s">
        <v>279</v>
      </c>
      <c r="D10" s="17" t="s">
        <v>280</v>
      </c>
      <c r="E10" s="18" t="s">
        <v>280</v>
      </c>
    </row>
    <row r="11" spans="1:5">
      <c r="A11" s="17" t="s">
        <v>40</v>
      </c>
      <c r="B11" s="17" t="s">
        <v>289</v>
      </c>
      <c r="C11" s="17" t="s">
        <v>279</v>
      </c>
      <c r="D11" s="17" t="s">
        <v>280</v>
      </c>
      <c r="E11" s="18" t="s">
        <v>280</v>
      </c>
    </row>
    <row r="12" spans="1:5">
      <c r="A12" s="17" t="s">
        <v>41</v>
      </c>
      <c r="B12" s="17" t="s">
        <v>290</v>
      </c>
      <c r="C12" s="17" t="s">
        <v>279</v>
      </c>
      <c r="D12" s="17" t="s">
        <v>280</v>
      </c>
      <c r="E12" s="18" t="s">
        <v>280</v>
      </c>
    </row>
    <row r="13" spans="1:5">
      <c r="A13" s="17" t="s">
        <v>42</v>
      </c>
      <c r="B13" s="17" t="s">
        <v>291</v>
      </c>
      <c r="C13" s="17" t="s">
        <v>279</v>
      </c>
      <c r="D13" s="17" t="s">
        <v>280</v>
      </c>
      <c r="E13" s="18" t="s">
        <v>280</v>
      </c>
    </row>
    <row r="14" spans="1:5">
      <c r="A14" s="17" t="s">
        <v>43</v>
      </c>
      <c r="B14" s="17" t="s">
        <v>292</v>
      </c>
      <c r="C14" s="17" t="s">
        <v>279</v>
      </c>
      <c r="D14" s="17" t="s">
        <v>280</v>
      </c>
      <c r="E14" s="18" t="s">
        <v>280</v>
      </c>
    </row>
    <row r="15" spans="1:5">
      <c r="A15" s="17" t="s">
        <v>44</v>
      </c>
      <c r="B15" s="17" t="s">
        <v>293</v>
      </c>
      <c r="C15" s="17" t="s">
        <v>279</v>
      </c>
      <c r="D15" s="17" t="s">
        <v>280</v>
      </c>
      <c r="E15" s="18" t="s">
        <v>280</v>
      </c>
    </row>
    <row r="16" spans="1:5">
      <c r="A16" s="17" t="s">
        <v>45</v>
      </c>
      <c r="B16" s="17" t="s">
        <v>294</v>
      </c>
      <c r="C16" s="17" t="s">
        <v>279</v>
      </c>
      <c r="D16" s="17" t="s">
        <v>280</v>
      </c>
      <c r="E16" s="18" t="s">
        <v>280</v>
      </c>
    </row>
    <row r="17" spans="1:5">
      <c r="A17" s="17" t="s">
        <v>46</v>
      </c>
      <c r="B17" s="17" t="s">
        <v>295</v>
      </c>
      <c r="C17" s="17" t="s">
        <v>279</v>
      </c>
      <c r="D17" s="17" t="s">
        <v>280</v>
      </c>
      <c r="E17" s="18" t="s">
        <v>280</v>
      </c>
    </row>
    <row r="18" spans="1:5">
      <c r="A18" s="17" t="s">
        <v>47</v>
      </c>
      <c r="B18" s="17" t="s">
        <v>296</v>
      </c>
      <c r="C18" s="17" t="s">
        <v>279</v>
      </c>
      <c r="D18" s="17" t="s">
        <v>280</v>
      </c>
      <c r="E18" s="18" t="s">
        <v>280</v>
      </c>
    </row>
    <row r="19" spans="1:5">
      <c r="A19" s="17" t="s">
        <v>48</v>
      </c>
      <c r="B19" s="17" t="s">
        <v>297</v>
      </c>
      <c r="C19" s="17" t="s">
        <v>279</v>
      </c>
      <c r="D19" s="17" t="s">
        <v>280</v>
      </c>
      <c r="E19" s="18" t="s">
        <v>280</v>
      </c>
    </row>
    <row r="20" spans="1:5">
      <c r="A20" s="17" t="s">
        <v>49</v>
      </c>
      <c r="B20" s="17" t="s">
        <v>298</v>
      </c>
      <c r="C20" s="17" t="s">
        <v>279</v>
      </c>
      <c r="D20" s="17" t="s">
        <v>280</v>
      </c>
      <c r="E20" s="18" t="s">
        <v>280</v>
      </c>
    </row>
    <row r="21" spans="1:5">
      <c r="A21" s="17" t="s">
        <v>50</v>
      </c>
      <c r="B21" s="17" t="s">
        <v>299</v>
      </c>
      <c r="C21" s="17" t="s">
        <v>279</v>
      </c>
      <c r="D21" s="17" t="s">
        <v>280</v>
      </c>
      <c r="E21" s="18" t="s">
        <v>280</v>
      </c>
    </row>
    <row r="22" spans="1:5">
      <c r="A22" s="17" t="s">
        <v>51</v>
      </c>
      <c r="B22" s="17" t="s">
        <v>300</v>
      </c>
      <c r="C22" s="17" t="s">
        <v>279</v>
      </c>
      <c r="D22" s="17" t="s">
        <v>280</v>
      </c>
      <c r="E22" s="18" t="s">
        <v>280</v>
      </c>
    </row>
    <row r="23" spans="1:5">
      <c r="A23" s="17" t="s">
        <v>52</v>
      </c>
      <c r="B23" s="17" t="s">
        <v>301</v>
      </c>
      <c r="C23" s="17" t="s">
        <v>279</v>
      </c>
      <c r="D23" s="17" t="s">
        <v>280</v>
      </c>
      <c r="E23" s="18" t="s">
        <v>280</v>
      </c>
    </row>
    <row r="24" spans="1:5">
      <c r="A24" s="17" t="s">
        <v>53</v>
      </c>
      <c r="B24" s="17" t="s">
        <v>302</v>
      </c>
      <c r="C24" s="17" t="s">
        <v>279</v>
      </c>
      <c r="D24" s="17" t="s">
        <v>280</v>
      </c>
      <c r="E24" s="18" t="s">
        <v>280</v>
      </c>
    </row>
    <row r="25" spans="1:5">
      <c r="A25" s="17" t="s">
        <v>54</v>
      </c>
      <c r="B25" s="17" t="s">
        <v>303</v>
      </c>
      <c r="C25" s="17" t="s">
        <v>279</v>
      </c>
      <c r="D25" s="17" t="s">
        <v>280</v>
      </c>
      <c r="E25" s="18" t="s">
        <v>280</v>
      </c>
    </row>
    <row r="26" spans="1:5">
      <c r="A26" s="17" t="s">
        <v>55</v>
      </c>
      <c r="B26" s="17" t="s">
        <v>304</v>
      </c>
      <c r="C26" s="17" t="s">
        <v>279</v>
      </c>
      <c r="D26" s="17" t="s">
        <v>280</v>
      </c>
      <c r="E26" s="18" t="s">
        <v>280</v>
      </c>
    </row>
    <row r="27" spans="1:5">
      <c r="A27" s="17" t="s">
        <v>56</v>
      </c>
      <c r="B27" s="17" t="s">
        <v>305</v>
      </c>
      <c r="C27" s="17" t="s">
        <v>279</v>
      </c>
      <c r="D27" s="17" t="s">
        <v>280</v>
      </c>
      <c r="E27" s="18" t="s">
        <v>280</v>
      </c>
    </row>
    <row r="28" spans="1:5">
      <c r="A28" s="17" t="s">
        <v>57</v>
      </c>
      <c r="B28" s="17" t="s">
        <v>306</v>
      </c>
      <c r="C28" s="17" t="s">
        <v>279</v>
      </c>
      <c r="D28" s="17" t="s">
        <v>280</v>
      </c>
      <c r="E28" s="18" t="s">
        <v>280</v>
      </c>
    </row>
    <row r="29" spans="1:5">
      <c r="A29" s="17" t="s">
        <v>58</v>
      </c>
      <c r="B29" s="17" t="s">
        <v>307</v>
      </c>
      <c r="C29" s="17" t="s">
        <v>279</v>
      </c>
      <c r="D29" s="17" t="s">
        <v>280</v>
      </c>
      <c r="E29" s="18" t="s">
        <v>280</v>
      </c>
    </row>
    <row r="30" spans="1:5">
      <c r="A30" s="17" t="s">
        <v>59</v>
      </c>
      <c r="B30" s="17" t="s">
        <v>308</v>
      </c>
      <c r="C30" s="17" t="s">
        <v>279</v>
      </c>
      <c r="D30" s="17" t="s">
        <v>280</v>
      </c>
      <c r="E30" s="18" t="s">
        <v>280</v>
      </c>
    </row>
    <row r="31" spans="1:5">
      <c r="A31" s="17" t="s">
        <v>60</v>
      </c>
      <c r="B31" s="17" t="s">
        <v>309</v>
      </c>
      <c r="C31" s="17" t="s">
        <v>279</v>
      </c>
      <c r="D31" s="17" t="s">
        <v>280</v>
      </c>
      <c r="E31" s="18" t="s">
        <v>280</v>
      </c>
    </row>
    <row r="32" spans="1:5">
      <c r="A32" s="17" t="s">
        <v>61</v>
      </c>
      <c r="B32" s="17" t="s">
        <v>310</v>
      </c>
      <c r="C32" s="17" t="s">
        <v>279</v>
      </c>
      <c r="D32" s="17" t="s">
        <v>280</v>
      </c>
      <c r="E32" s="18" t="s">
        <v>280</v>
      </c>
    </row>
    <row r="33" spans="1:5">
      <c r="A33" s="17" t="s">
        <v>62</v>
      </c>
      <c r="B33" s="17" t="s">
        <v>311</v>
      </c>
      <c r="C33" s="17" t="s">
        <v>279</v>
      </c>
      <c r="D33" s="17" t="s">
        <v>280</v>
      </c>
      <c r="E33" s="18" t="s">
        <v>280</v>
      </c>
    </row>
    <row r="34" spans="1:5">
      <c r="A34" s="17" t="s">
        <v>63</v>
      </c>
      <c r="B34" s="17" t="s">
        <v>312</v>
      </c>
      <c r="C34" s="17" t="s">
        <v>279</v>
      </c>
      <c r="D34" s="17" t="s">
        <v>280</v>
      </c>
      <c r="E34" s="18" t="s">
        <v>280</v>
      </c>
    </row>
    <row r="35" spans="1:5">
      <c r="A35" s="17" t="s">
        <v>64</v>
      </c>
      <c r="B35" s="17" t="s">
        <v>313</v>
      </c>
      <c r="C35" s="17" t="s">
        <v>279</v>
      </c>
      <c r="D35" s="17" t="s">
        <v>280</v>
      </c>
      <c r="E35" s="18" t="s">
        <v>280</v>
      </c>
    </row>
    <row r="36" spans="1:5">
      <c r="A36" s="17" t="s">
        <v>65</v>
      </c>
      <c r="B36" s="17" t="s">
        <v>314</v>
      </c>
      <c r="C36" s="17" t="s">
        <v>279</v>
      </c>
      <c r="D36" s="17" t="s">
        <v>280</v>
      </c>
      <c r="E36" s="18" t="s">
        <v>280</v>
      </c>
    </row>
    <row r="37" spans="1:5">
      <c r="A37" s="17" t="s">
        <v>66</v>
      </c>
      <c r="B37" s="17" t="s">
        <v>315</v>
      </c>
      <c r="C37" s="17" t="s">
        <v>279</v>
      </c>
      <c r="D37" s="17" t="s">
        <v>280</v>
      </c>
      <c r="E37" s="18" t="s">
        <v>280</v>
      </c>
    </row>
    <row r="38" spans="1:5">
      <c r="A38" s="17" t="s">
        <v>67</v>
      </c>
      <c r="B38" s="17" t="s">
        <v>316</v>
      </c>
      <c r="C38" s="17" t="s">
        <v>279</v>
      </c>
      <c r="D38" s="17" t="s">
        <v>280</v>
      </c>
      <c r="E38" s="18" t="s">
        <v>280</v>
      </c>
    </row>
    <row r="39" spans="1:5">
      <c r="A39" s="17" t="s">
        <v>68</v>
      </c>
      <c r="B39" s="17" t="s">
        <v>317</v>
      </c>
      <c r="C39" s="17" t="s">
        <v>279</v>
      </c>
      <c r="D39" s="17" t="s">
        <v>280</v>
      </c>
      <c r="E39" s="18" t="s">
        <v>280</v>
      </c>
    </row>
    <row r="40" spans="1:5">
      <c r="A40" s="17" t="s">
        <v>69</v>
      </c>
      <c r="B40" s="17" t="s">
        <v>318</v>
      </c>
      <c r="C40" s="17" t="s">
        <v>279</v>
      </c>
      <c r="D40" s="17" t="s">
        <v>280</v>
      </c>
      <c r="E40" s="18" t="s">
        <v>280</v>
      </c>
    </row>
    <row r="41" spans="1:5">
      <c r="A41" s="17" t="s">
        <v>70</v>
      </c>
      <c r="B41" s="17" t="s">
        <v>319</v>
      </c>
      <c r="C41" s="17" t="s">
        <v>279</v>
      </c>
      <c r="D41" s="17" t="s">
        <v>280</v>
      </c>
      <c r="E41" s="18" t="s">
        <v>280</v>
      </c>
    </row>
    <row r="42" spans="1:5">
      <c r="A42" s="17" t="s">
        <v>71</v>
      </c>
      <c r="B42" s="17" t="s">
        <v>320</v>
      </c>
      <c r="C42" s="17" t="s">
        <v>279</v>
      </c>
      <c r="D42" s="17" t="s">
        <v>280</v>
      </c>
      <c r="E42" s="18" t="s">
        <v>280</v>
      </c>
    </row>
    <row r="43" spans="1:5">
      <c r="A43" s="17" t="s">
        <v>72</v>
      </c>
      <c r="B43" s="17" t="s">
        <v>321</v>
      </c>
      <c r="C43" s="17" t="s">
        <v>279</v>
      </c>
      <c r="D43" s="17" t="s">
        <v>280</v>
      </c>
      <c r="E43" s="18" t="s">
        <v>280</v>
      </c>
    </row>
    <row r="44" spans="1:5">
      <c r="A44" s="17" t="s">
        <v>73</v>
      </c>
      <c r="B44" s="17" t="s">
        <v>322</v>
      </c>
      <c r="C44" s="17" t="s">
        <v>279</v>
      </c>
      <c r="D44" s="17" t="s">
        <v>280</v>
      </c>
      <c r="E44" s="18" t="s">
        <v>280</v>
      </c>
    </row>
    <row r="45" spans="1:5">
      <c r="A45" s="17" t="s">
        <v>74</v>
      </c>
      <c r="B45" s="17"/>
      <c r="C45" s="17" t="s">
        <v>279</v>
      </c>
      <c r="D45" s="17" t="s">
        <v>280</v>
      </c>
      <c r="E45" s="18" t="s">
        <v>280</v>
      </c>
    </row>
    <row r="46" spans="1:5">
      <c r="A46" s="17" t="s">
        <v>75</v>
      </c>
      <c r="B46" s="17" t="s">
        <v>323</v>
      </c>
      <c r="C46" s="17" t="s">
        <v>279</v>
      </c>
      <c r="D46" s="17" t="s">
        <v>280</v>
      </c>
      <c r="E46" s="18" t="s">
        <v>280</v>
      </c>
    </row>
    <row r="47" spans="1:5">
      <c r="A47" s="17" t="s">
        <v>76</v>
      </c>
      <c r="B47" s="17" t="s">
        <v>324</v>
      </c>
      <c r="C47" s="17" t="s">
        <v>279</v>
      </c>
      <c r="D47" s="17" t="s">
        <v>280</v>
      </c>
      <c r="E47" s="18" t="s">
        <v>280</v>
      </c>
    </row>
    <row r="48" spans="1:5">
      <c r="A48" s="17" t="s">
        <v>77</v>
      </c>
      <c r="B48" s="17" t="s">
        <v>325</v>
      </c>
      <c r="C48" s="17" t="s">
        <v>279</v>
      </c>
      <c r="D48" s="17" t="s">
        <v>280</v>
      </c>
      <c r="E48" s="18" t="s">
        <v>280</v>
      </c>
    </row>
    <row r="49" spans="1:5">
      <c r="A49" s="17" t="s">
        <v>78</v>
      </c>
      <c r="B49" s="17" t="s">
        <v>326</v>
      </c>
      <c r="C49" s="17" t="s">
        <v>279</v>
      </c>
      <c r="D49" s="17" t="s">
        <v>280</v>
      </c>
      <c r="E49" s="18" t="s">
        <v>280</v>
      </c>
    </row>
    <row r="50" spans="1:5">
      <c r="A50" s="17" t="s">
        <v>79</v>
      </c>
      <c r="B50" s="17" t="s">
        <v>327</v>
      </c>
      <c r="C50" s="17" t="s">
        <v>279</v>
      </c>
      <c r="D50" s="17" t="s">
        <v>280</v>
      </c>
      <c r="E50" s="18" t="s">
        <v>280</v>
      </c>
    </row>
    <row r="51" spans="1:5">
      <c r="A51" s="17" t="s">
        <v>80</v>
      </c>
      <c r="B51" s="17" t="s">
        <v>328</v>
      </c>
      <c r="C51" s="17" t="s">
        <v>279</v>
      </c>
      <c r="D51" s="17" t="s">
        <v>280</v>
      </c>
      <c r="E51" s="18" t="s">
        <v>280</v>
      </c>
    </row>
    <row r="52" spans="1:5">
      <c r="A52" s="17" t="s">
        <v>81</v>
      </c>
      <c r="B52" s="17" t="s">
        <v>329</v>
      </c>
      <c r="C52" s="17" t="s">
        <v>279</v>
      </c>
      <c r="D52" s="17" t="s">
        <v>280</v>
      </c>
      <c r="E52" s="18" t="s">
        <v>280</v>
      </c>
    </row>
    <row r="53" spans="1:5">
      <c r="A53" s="17" t="s">
        <v>82</v>
      </c>
      <c r="B53" s="17" t="s">
        <v>330</v>
      </c>
      <c r="C53" s="17" t="s">
        <v>279</v>
      </c>
      <c r="D53" s="17" t="s">
        <v>280</v>
      </c>
      <c r="E53" s="18" t="s">
        <v>280</v>
      </c>
    </row>
    <row r="54" spans="1:5">
      <c r="A54" s="17" t="s">
        <v>83</v>
      </c>
      <c r="B54" s="17" t="s">
        <v>331</v>
      </c>
      <c r="C54" s="17" t="s">
        <v>279</v>
      </c>
      <c r="D54" s="17" t="s">
        <v>280</v>
      </c>
      <c r="E54" s="18" t="s">
        <v>280</v>
      </c>
    </row>
    <row r="55" spans="1:5">
      <c r="A55" s="17" t="s">
        <v>84</v>
      </c>
      <c r="B55" s="17" t="s">
        <v>332</v>
      </c>
      <c r="C55" s="17" t="s">
        <v>279</v>
      </c>
      <c r="D55" s="17" t="s">
        <v>280</v>
      </c>
      <c r="E55" s="18" t="s">
        <v>280</v>
      </c>
    </row>
    <row r="56" spans="1:5">
      <c r="A56" s="17" t="s">
        <v>85</v>
      </c>
      <c r="B56" s="17" t="s">
        <v>333</v>
      </c>
      <c r="C56" s="17" t="s">
        <v>279</v>
      </c>
      <c r="D56" s="17" t="s">
        <v>280</v>
      </c>
      <c r="E56" s="18" t="s">
        <v>280</v>
      </c>
    </row>
    <row r="57" spans="1:5">
      <c r="A57" s="17" t="s">
        <v>86</v>
      </c>
      <c r="B57" s="17" t="s">
        <v>334</v>
      </c>
      <c r="C57" s="17" t="s">
        <v>279</v>
      </c>
      <c r="D57" s="17" t="s">
        <v>280</v>
      </c>
      <c r="E57" s="18" t="s">
        <v>280</v>
      </c>
    </row>
    <row r="58" spans="1:5">
      <c r="A58" s="17" t="s">
        <v>87</v>
      </c>
      <c r="B58" s="17" t="s">
        <v>335</v>
      </c>
      <c r="C58" s="17" t="s">
        <v>279</v>
      </c>
      <c r="D58" s="17" t="s">
        <v>280</v>
      </c>
      <c r="E58" s="18" t="s">
        <v>280</v>
      </c>
    </row>
    <row r="59" spans="1:5">
      <c r="A59" s="17" t="s">
        <v>88</v>
      </c>
      <c r="B59" s="17" t="s">
        <v>336</v>
      </c>
      <c r="C59" s="17" t="s">
        <v>279</v>
      </c>
      <c r="D59" s="17" t="s">
        <v>280</v>
      </c>
      <c r="E59" s="18" t="s">
        <v>280</v>
      </c>
    </row>
    <row r="60" spans="1:5">
      <c r="A60" s="17" t="s">
        <v>89</v>
      </c>
      <c r="B60" s="17" t="s">
        <v>337</v>
      </c>
      <c r="C60" s="17" t="s">
        <v>279</v>
      </c>
      <c r="D60" s="17" t="s">
        <v>280</v>
      </c>
      <c r="E60" s="18" t="s">
        <v>280</v>
      </c>
    </row>
    <row r="61" spans="1:5">
      <c r="A61" s="17" t="s">
        <v>90</v>
      </c>
      <c r="B61" s="17" t="s">
        <v>338</v>
      </c>
      <c r="C61" s="17" t="s">
        <v>279</v>
      </c>
      <c r="D61" s="17" t="s">
        <v>280</v>
      </c>
      <c r="E61" s="18" t="s">
        <v>280</v>
      </c>
    </row>
    <row r="62" spans="1:5">
      <c r="A62" s="17" t="s">
        <v>91</v>
      </c>
      <c r="B62" s="17" t="s">
        <v>339</v>
      </c>
      <c r="C62" s="17" t="s">
        <v>279</v>
      </c>
      <c r="D62" s="17" t="s">
        <v>280</v>
      </c>
      <c r="E62" s="18" t="s">
        <v>280</v>
      </c>
    </row>
    <row r="63" spans="1:5">
      <c r="A63" s="17" t="s">
        <v>92</v>
      </c>
      <c r="B63" s="17" t="s">
        <v>340</v>
      </c>
      <c r="C63" s="17" t="s">
        <v>279</v>
      </c>
      <c r="D63" s="17" t="s">
        <v>280</v>
      </c>
      <c r="E63" s="18" t="s">
        <v>280</v>
      </c>
    </row>
    <row r="64" spans="1:5">
      <c r="A64" s="17" t="s">
        <v>93</v>
      </c>
      <c r="B64" s="17" t="s">
        <v>341</v>
      </c>
      <c r="C64" s="17" t="s">
        <v>279</v>
      </c>
      <c r="D64" s="17" t="s">
        <v>280</v>
      </c>
      <c r="E64" s="18" t="s">
        <v>280</v>
      </c>
    </row>
    <row r="65" spans="1:5">
      <c r="A65" s="17" t="s">
        <v>94</v>
      </c>
      <c r="B65" s="17" t="s">
        <v>342</v>
      </c>
      <c r="C65" s="17" t="s">
        <v>279</v>
      </c>
      <c r="D65" s="17" t="s">
        <v>280</v>
      </c>
      <c r="E65" s="18" t="s">
        <v>280</v>
      </c>
    </row>
    <row r="66" spans="1:5">
      <c r="A66" s="17" t="s">
        <v>95</v>
      </c>
      <c r="B66" s="17" t="s">
        <v>343</v>
      </c>
      <c r="C66" s="17" t="s">
        <v>279</v>
      </c>
      <c r="D66" s="17" t="s">
        <v>280</v>
      </c>
      <c r="E66" s="18" t="s">
        <v>280</v>
      </c>
    </row>
    <row r="67" spans="1:5">
      <c r="A67" s="17" t="s">
        <v>96</v>
      </c>
      <c r="B67" s="17" t="s">
        <v>344</v>
      </c>
      <c r="C67" s="17" t="s">
        <v>279</v>
      </c>
      <c r="D67" s="17" t="s">
        <v>280</v>
      </c>
      <c r="E67" s="18" t="s">
        <v>280</v>
      </c>
    </row>
    <row r="68" spans="1:5">
      <c r="A68" s="17" t="s">
        <v>97</v>
      </c>
      <c r="B68" s="17" t="s">
        <v>345</v>
      </c>
      <c r="C68" s="17" t="s">
        <v>279</v>
      </c>
      <c r="D68" s="17" t="s">
        <v>280</v>
      </c>
      <c r="E68" s="18" t="s">
        <v>280</v>
      </c>
    </row>
    <row r="69" spans="1:5">
      <c r="A69" s="17" t="s">
        <v>98</v>
      </c>
      <c r="B69" s="17" t="s">
        <v>346</v>
      </c>
      <c r="C69" s="17" t="s">
        <v>279</v>
      </c>
      <c r="D69" s="17" t="s">
        <v>280</v>
      </c>
      <c r="E69" s="18" t="s">
        <v>280</v>
      </c>
    </row>
    <row r="70" spans="1:5">
      <c r="A70" s="17" t="s">
        <v>99</v>
      </c>
      <c r="B70" s="17" t="s">
        <v>347</v>
      </c>
      <c r="C70" s="17" t="s">
        <v>279</v>
      </c>
      <c r="D70" s="17" t="s">
        <v>280</v>
      </c>
      <c r="E70" s="18" t="s">
        <v>280</v>
      </c>
    </row>
    <row r="71" spans="1:5">
      <c r="A71" s="17" t="s">
        <v>100</v>
      </c>
      <c r="B71" s="17" t="s">
        <v>348</v>
      </c>
      <c r="C71" s="17" t="s">
        <v>279</v>
      </c>
      <c r="D71" s="17" t="s">
        <v>280</v>
      </c>
      <c r="E71" s="18" t="s">
        <v>280</v>
      </c>
    </row>
    <row r="72" spans="1:5">
      <c r="A72" s="17" t="s">
        <v>101</v>
      </c>
      <c r="B72" s="17" t="s">
        <v>349</v>
      </c>
      <c r="C72" s="17" t="s">
        <v>279</v>
      </c>
      <c r="D72" s="17" t="s">
        <v>280</v>
      </c>
      <c r="E72" s="18" t="s">
        <v>280</v>
      </c>
    </row>
    <row r="73" spans="1:5">
      <c r="A73" s="17" t="s">
        <v>102</v>
      </c>
      <c r="B73" s="17" t="s">
        <v>350</v>
      </c>
      <c r="C73" s="17" t="s">
        <v>279</v>
      </c>
      <c r="D73" s="17" t="s">
        <v>280</v>
      </c>
      <c r="E73" s="18" t="s">
        <v>280</v>
      </c>
    </row>
    <row r="74" spans="1:5">
      <c r="A74" s="17" t="s">
        <v>103</v>
      </c>
      <c r="B74" s="17" t="s">
        <v>351</v>
      </c>
      <c r="C74" s="17" t="s">
        <v>279</v>
      </c>
      <c r="D74" s="17" t="s">
        <v>280</v>
      </c>
      <c r="E74" s="18" t="s">
        <v>280</v>
      </c>
    </row>
    <row r="75" spans="1:5">
      <c r="A75" s="17" t="s">
        <v>104</v>
      </c>
      <c r="B75" s="17" t="s">
        <v>352</v>
      </c>
      <c r="C75" s="17" t="s">
        <v>279</v>
      </c>
      <c r="D75" s="17" t="s">
        <v>280</v>
      </c>
      <c r="E75" s="18" t="s">
        <v>280</v>
      </c>
    </row>
    <row r="76" spans="1:5">
      <c r="A76" s="17" t="s">
        <v>105</v>
      </c>
      <c r="B76" s="17" t="s">
        <v>353</v>
      </c>
      <c r="C76" s="17" t="s">
        <v>279</v>
      </c>
      <c r="D76" s="17" t="s">
        <v>280</v>
      </c>
      <c r="E76" s="18" t="s">
        <v>280</v>
      </c>
    </row>
    <row r="77" spans="1:5">
      <c r="A77" s="17" t="s">
        <v>106</v>
      </c>
      <c r="B77" s="17" t="s">
        <v>354</v>
      </c>
      <c r="C77" s="17" t="s">
        <v>279</v>
      </c>
      <c r="D77" s="17" t="s">
        <v>280</v>
      </c>
      <c r="E77" s="18" t="s">
        <v>280</v>
      </c>
    </row>
    <row r="78" spans="1:5">
      <c r="A78" s="17" t="s">
        <v>107</v>
      </c>
      <c r="B78" s="17" t="s">
        <v>355</v>
      </c>
      <c r="C78" s="17" t="s">
        <v>279</v>
      </c>
      <c r="D78" s="17" t="s">
        <v>280</v>
      </c>
      <c r="E78" s="18" t="s">
        <v>280</v>
      </c>
    </row>
    <row r="79" spans="1:5">
      <c r="A79" s="17" t="s">
        <v>108</v>
      </c>
      <c r="B79" s="17" t="s">
        <v>356</v>
      </c>
      <c r="C79" s="17" t="s">
        <v>279</v>
      </c>
      <c r="D79" s="17" t="s">
        <v>280</v>
      </c>
      <c r="E79" s="18" t="s">
        <v>280</v>
      </c>
    </row>
    <row r="80" spans="1:5">
      <c r="A80" s="17" t="s">
        <v>109</v>
      </c>
      <c r="B80" s="17" t="s">
        <v>357</v>
      </c>
      <c r="C80" s="17" t="s">
        <v>279</v>
      </c>
      <c r="D80" s="17" t="s">
        <v>280</v>
      </c>
      <c r="E80" s="18" t="s">
        <v>280</v>
      </c>
    </row>
    <row r="81" spans="1:5">
      <c r="A81" s="17" t="s">
        <v>110</v>
      </c>
      <c r="B81" s="17" t="s">
        <v>358</v>
      </c>
      <c r="C81" s="17" t="s">
        <v>279</v>
      </c>
      <c r="D81" s="17" t="s">
        <v>280</v>
      </c>
      <c r="E81" s="18" t="s">
        <v>280</v>
      </c>
    </row>
    <row r="82" spans="1:5">
      <c r="A82" s="17" t="s">
        <v>111</v>
      </c>
      <c r="B82" s="17" t="s">
        <v>359</v>
      </c>
      <c r="C82" s="17" t="s">
        <v>279</v>
      </c>
      <c r="D82" s="17" t="s">
        <v>280</v>
      </c>
      <c r="E82" s="18" t="s">
        <v>280</v>
      </c>
    </row>
    <row r="83" spans="1:5">
      <c r="A83" s="17" t="s">
        <v>112</v>
      </c>
      <c r="B83" s="17" t="s">
        <v>360</v>
      </c>
      <c r="C83" s="17" t="s">
        <v>279</v>
      </c>
      <c r="D83" s="17" t="s">
        <v>280</v>
      </c>
      <c r="E83" s="18" t="s">
        <v>280</v>
      </c>
    </row>
    <row r="84" spans="1:5">
      <c r="A84" s="17" t="s">
        <v>113</v>
      </c>
      <c r="B84" s="17" t="s">
        <v>361</v>
      </c>
      <c r="C84" s="17" t="s">
        <v>279</v>
      </c>
      <c r="D84" s="17" t="s">
        <v>280</v>
      </c>
      <c r="E84" s="18" t="s">
        <v>280</v>
      </c>
    </row>
    <row r="85" spans="1:5">
      <c r="A85" s="17" t="s">
        <v>114</v>
      </c>
      <c r="B85" s="17" t="s">
        <v>362</v>
      </c>
      <c r="C85" s="17" t="s">
        <v>279</v>
      </c>
      <c r="D85" s="17" t="s">
        <v>280</v>
      </c>
      <c r="E85" s="18" t="s">
        <v>280</v>
      </c>
    </row>
    <row r="86" spans="1:5">
      <c r="A86" s="17" t="s">
        <v>115</v>
      </c>
      <c r="B86" s="17" t="s">
        <v>363</v>
      </c>
      <c r="C86" s="17" t="s">
        <v>279</v>
      </c>
      <c r="D86" s="17" t="s">
        <v>280</v>
      </c>
      <c r="E86" s="18" t="s">
        <v>280</v>
      </c>
    </row>
    <row r="87" spans="1:5">
      <c r="A87" s="17" t="s">
        <v>116</v>
      </c>
      <c r="B87" s="17" t="s">
        <v>364</v>
      </c>
      <c r="C87" s="17" t="s">
        <v>279</v>
      </c>
      <c r="D87" s="17" t="s">
        <v>280</v>
      </c>
      <c r="E87" s="18" t="s">
        <v>280</v>
      </c>
    </row>
    <row r="88" spans="1:5">
      <c r="A88" s="17" t="s">
        <v>117</v>
      </c>
      <c r="B88" s="17" t="s">
        <v>365</v>
      </c>
      <c r="C88" s="17" t="s">
        <v>279</v>
      </c>
      <c r="D88" s="17" t="s">
        <v>280</v>
      </c>
      <c r="E88" s="18" t="s">
        <v>280</v>
      </c>
    </row>
    <row r="89" spans="1:5">
      <c r="A89" s="17" t="s">
        <v>118</v>
      </c>
      <c r="B89" s="17" t="s">
        <v>366</v>
      </c>
      <c r="C89" s="17" t="s">
        <v>279</v>
      </c>
      <c r="D89" s="17" t="s">
        <v>280</v>
      </c>
      <c r="E89" s="18" t="s">
        <v>280</v>
      </c>
    </row>
    <row r="90" spans="1:5">
      <c r="A90" s="17" t="s">
        <v>119</v>
      </c>
      <c r="B90" s="17" t="s">
        <v>367</v>
      </c>
      <c r="C90" s="17" t="s">
        <v>279</v>
      </c>
      <c r="D90" s="17" t="s">
        <v>280</v>
      </c>
      <c r="E90" s="18" t="s">
        <v>280</v>
      </c>
    </row>
    <row r="91" spans="1:5">
      <c r="A91" s="17" t="s">
        <v>120</v>
      </c>
      <c r="B91" s="17" t="s">
        <v>368</v>
      </c>
      <c r="C91" s="17" t="s">
        <v>279</v>
      </c>
      <c r="D91" s="17" t="s">
        <v>280</v>
      </c>
      <c r="E91" s="18" t="s">
        <v>280</v>
      </c>
    </row>
    <row r="92" spans="1:5">
      <c r="A92" s="17" t="s">
        <v>121</v>
      </c>
      <c r="B92" s="17" t="s">
        <v>369</v>
      </c>
      <c r="C92" s="17" t="s">
        <v>279</v>
      </c>
      <c r="D92" s="17" t="s">
        <v>280</v>
      </c>
      <c r="E92" s="18" t="s">
        <v>280</v>
      </c>
    </row>
    <row r="93" spans="1:5">
      <c r="A93" s="17" t="s">
        <v>122</v>
      </c>
      <c r="B93" s="17" t="s">
        <v>370</v>
      </c>
      <c r="C93" s="17" t="s">
        <v>279</v>
      </c>
      <c r="D93" s="17" t="s">
        <v>280</v>
      </c>
      <c r="E93" s="18" t="s">
        <v>280</v>
      </c>
    </row>
    <row r="94" spans="1:5">
      <c r="A94" s="17" t="s">
        <v>123</v>
      </c>
      <c r="B94" s="17" t="s">
        <v>371</v>
      </c>
      <c r="C94" s="17" t="s">
        <v>279</v>
      </c>
      <c r="D94" s="17" t="s">
        <v>280</v>
      </c>
      <c r="E94" s="18" t="s">
        <v>280</v>
      </c>
    </row>
    <row r="95" spans="1:5">
      <c r="A95" s="17" t="s">
        <v>124</v>
      </c>
      <c r="B95" s="17" t="s">
        <v>372</v>
      </c>
      <c r="C95" s="17" t="s">
        <v>279</v>
      </c>
      <c r="D95" s="17" t="s">
        <v>280</v>
      </c>
      <c r="E95" s="18" t="s">
        <v>280</v>
      </c>
    </row>
    <row r="96" spans="1:5">
      <c r="A96" s="17" t="s">
        <v>125</v>
      </c>
      <c r="B96" s="17" t="s">
        <v>373</v>
      </c>
      <c r="C96" s="17" t="s">
        <v>279</v>
      </c>
      <c r="D96" s="17" t="s">
        <v>280</v>
      </c>
      <c r="E96" s="18" t="s">
        <v>280</v>
      </c>
    </row>
    <row r="97" spans="1:5">
      <c r="A97" s="17" t="s">
        <v>126</v>
      </c>
      <c r="B97" s="17" t="s">
        <v>374</v>
      </c>
      <c r="C97" s="17" t="s">
        <v>279</v>
      </c>
      <c r="D97" s="17" t="s">
        <v>280</v>
      </c>
      <c r="E97" s="18" t="s">
        <v>280</v>
      </c>
    </row>
    <row r="98" spans="1:5">
      <c r="A98" s="17" t="s">
        <v>127</v>
      </c>
      <c r="B98" s="17" t="s">
        <v>375</v>
      </c>
      <c r="C98" s="17" t="s">
        <v>279</v>
      </c>
      <c r="D98" s="17" t="s">
        <v>280</v>
      </c>
      <c r="E98" s="18" t="s">
        <v>280</v>
      </c>
    </row>
    <row r="99" spans="1:5">
      <c r="A99" s="17" t="s">
        <v>128</v>
      </c>
      <c r="B99" s="17" t="s">
        <v>376</v>
      </c>
      <c r="C99" s="17" t="s">
        <v>279</v>
      </c>
      <c r="D99" s="17" t="s">
        <v>280</v>
      </c>
      <c r="E99" s="18" t="s">
        <v>280</v>
      </c>
    </row>
    <row r="100" spans="1:5">
      <c r="A100" s="17" t="s">
        <v>129</v>
      </c>
      <c r="B100" s="17" t="s">
        <v>377</v>
      </c>
      <c r="C100" s="17" t="s">
        <v>279</v>
      </c>
      <c r="D100" s="17" t="s">
        <v>280</v>
      </c>
      <c r="E100" s="18" t="s">
        <v>280</v>
      </c>
    </row>
    <row r="101" spans="1:5" ht="57">
      <c r="A101" s="19" t="s">
        <v>130</v>
      </c>
      <c r="B101" s="17" t="s">
        <v>378</v>
      </c>
      <c r="C101" s="17" t="s">
        <v>279</v>
      </c>
      <c r="D101" s="17" t="s">
        <v>280</v>
      </c>
      <c r="E101" s="18" t="s">
        <v>280</v>
      </c>
    </row>
    <row r="102" spans="1:5" ht="71.25">
      <c r="A102" s="19" t="s">
        <v>131</v>
      </c>
      <c r="B102" s="17" t="s">
        <v>379</v>
      </c>
      <c r="C102" s="17" t="s">
        <v>279</v>
      </c>
      <c r="D102" s="17" t="s">
        <v>280</v>
      </c>
      <c r="E102" s="18" t="s">
        <v>280</v>
      </c>
    </row>
    <row r="103" spans="1:5" ht="71.25">
      <c r="A103" s="19" t="s">
        <v>132</v>
      </c>
      <c r="B103" s="17" t="s">
        <v>380</v>
      </c>
      <c r="C103" s="17" t="s">
        <v>279</v>
      </c>
      <c r="D103" s="17" t="s">
        <v>280</v>
      </c>
      <c r="E103" s="18" t="s">
        <v>280</v>
      </c>
    </row>
    <row r="104" spans="1:5" ht="71.25">
      <c r="A104" s="19" t="s">
        <v>133</v>
      </c>
      <c r="B104" s="17" t="s">
        <v>381</v>
      </c>
      <c r="C104" s="17" t="s">
        <v>279</v>
      </c>
      <c r="D104" s="17" t="s">
        <v>280</v>
      </c>
      <c r="E104" s="18" t="s">
        <v>280</v>
      </c>
    </row>
    <row r="105" spans="1:5" ht="71.25">
      <c r="A105" s="19" t="s">
        <v>134</v>
      </c>
      <c r="B105" s="17" t="s">
        <v>382</v>
      </c>
      <c r="C105" s="17" t="s">
        <v>279</v>
      </c>
      <c r="D105" s="17" t="s">
        <v>280</v>
      </c>
      <c r="E105" s="18" t="s">
        <v>280</v>
      </c>
    </row>
    <row r="106" spans="1:5" ht="57">
      <c r="A106" s="19" t="s">
        <v>135</v>
      </c>
      <c r="B106" s="17" t="s">
        <v>383</v>
      </c>
      <c r="C106" s="17" t="s">
        <v>279</v>
      </c>
      <c r="D106" s="17" t="s">
        <v>280</v>
      </c>
      <c r="E106" s="18" t="s">
        <v>280</v>
      </c>
    </row>
    <row r="107" spans="1:5" ht="71.25">
      <c r="A107" s="19" t="s">
        <v>136</v>
      </c>
      <c r="B107" s="17" t="s">
        <v>384</v>
      </c>
      <c r="C107" s="17" t="s">
        <v>279</v>
      </c>
      <c r="D107" s="17" t="s">
        <v>280</v>
      </c>
      <c r="E107" s="18" t="s">
        <v>280</v>
      </c>
    </row>
    <row r="108" spans="1:5" ht="71.25">
      <c r="A108" s="19" t="s">
        <v>137</v>
      </c>
      <c r="B108" s="17" t="s">
        <v>385</v>
      </c>
      <c r="C108" s="17" t="s">
        <v>279</v>
      </c>
      <c r="D108" s="17" t="s">
        <v>280</v>
      </c>
      <c r="E108" s="18" t="s">
        <v>280</v>
      </c>
    </row>
    <row r="109" spans="1:5" ht="71.25">
      <c r="A109" s="19" t="s">
        <v>138</v>
      </c>
      <c r="B109" s="17" t="s">
        <v>386</v>
      </c>
      <c r="C109" s="17" t="s">
        <v>279</v>
      </c>
      <c r="D109" s="17" t="s">
        <v>280</v>
      </c>
      <c r="E109" s="18" t="s">
        <v>280</v>
      </c>
    </row>
    <row r="110" spans="1:5" ht="85.5">
      <c r="A110" s="19" t="s">
        <v>139</v>
      </c>
      <c r="B110" s="17" t="s">
        <v>387</v>
      </c>
      <c r="C110" s="17" t="s">
        <v>279</v>
      </c>
      <c r="D110" s="17" t="s">
        <v>280</v>
      </c>
      <c r="E110" s="18" t="s">
        <v>280</v>
      </c>
    </row>
    <row r="111" spans="1:5" ht="99.75">
      <c r="A111" s="19" t="s">
        <v>140</v>
      </c>
      <c r="B111" s="17" t="s">
        <v>388</v>
      </c>
      <c r="C111" s="17" t="s">
        <v>279</v>
      </c>
      <c r="D111" s="17" t="s">
        <v>280</v>
      </c>
      <c r="E111" s="18" t="s">
        <v>280</v>
      </c>
    </row>
    <row r="112" spans="1:5" ht="99.75">
      <c r="A112" s="19" t="s">
        <v>141</v>
      </c>
      <c r="B112" s="17" t="s">
        <v>389</v>
      </c>
      <c r="C112" s="17" t="s">
        <v>279</v>
      </c>
      <c r="D112" s="17" t="s">
        <v>280</v>
      </c>
      <c r="E112" s="18" t="s">
        <v>280</v>
      </c>
    </row>
    <row r="113" spans="1:5" ht="85.5">
      <c r="A113" s="19" t="s">
        <v>142</v>
      </c>
      <c r="B113" s="17" t="s">
        <v>390</v>
      </c>
      <c r="C113" s="17" t="s">
        <v>279</v>
      </c>
      <c r="D113" s="17" t="s">
        <v>280</v>
      </c>
      <c r="E113" s="18" t="s">
        <v>280</v>
      </c>
    </row>
    <row r="114" spans="1:5" ht="85.5">
      <c r="A114" s="19" t="s">
        <v>143</v>
      </c>
      <c r="B114" s="17" t="s">
        <v>391</v>
      </c>
      <c r="C114" s="17" t="s">
        <v>279</v>
      </c>
      <c r="D114" s="17" t="s">
        <v>280</v>
      </c>
      <c r="E114" s="18" t="s">
        <v>280</v>
      </c>
    </row>
    <row r="115" spans="1:5" ht="85.5">
      <c r="A115" s="19" t="s">
        <v>144</v>
      </c>
      <c r="B115" s="17" t="s">
        <v>392</v>
      </c>
      <c r="C115" s="17" t="s">
        <v>279</v>
      </c>
      <c r="D115" s="17" t="s">
        <v>280</v>
      </c>
      <c r="E115" s="18" t="s">
        <v>280</v>
      </c>
    </row>
    <row r="116" spans="1:5" ht="85.5">
      <c r="A116" s="19" t="s">
        <v>145</v>
      </c>
      <c r="B116" s="17" t="s">
        <v>393</v>
      </c>
      <c r="C116" s="17" t="s">
        <v>279</v>
      </c>
      <c r="D116" s="17" t="s">
        <v>280</v>
      </c>
      <c r="E116" s="18" t="s">
        <v>280</v>
      </c>
    </row>
    <row r="117" spans="1:5" ht="71.25">
      <c r="A117" s="19" t="s">
        <v>146</v>
      </c>
      <c r="B117" s="17" t="s">
        <v>394</v>
      </c>
      <c r="C117" s="17" t="s">
        <v>279</v>
      </c>
      <c r="D117" s="17" t="s">
        <v>280</v>
      </c>
      <c r="E117" s="18" t="s">
        <v>280</v>
      </c>
    </row>
    <row r="118" spans="1:5" ht="85.5">
      <c r="A118" s="19" t="s">
        <v>147</v>
      </c>
      <c r="B118" s="17" t="s">
        <v>395</v>
      </c>
      <c r="C118" s="17" t="s">
        <v>279</v>
      </c>
      <c r="D118" s="17" t="s">
        <v>280</v>
      </c>
      <c r="E118" s="18" t="s">
        <v>280</v>
      </c>
    </row>
    <row r="119" spans="1:5" ht="85.5">
      <c r="A119" s="19" t="s">
        <v>148</v>
      </c>
      <c r="B119" s="17" t="s">
        <v>396</v>
      </c>
      <c r="C119" s="17" t="s">
        <v>279</v>
      </c>
      <c r="D119" s="17" t="s">
        <v>280</v>
      </c>
      <c r="E119" s="18" t="s">
        <v>280</v>
      </c>
    </row>
    <row r="120" spans="1:5" ht="85.5">
      <c r="A120" s="19" t="s">
        <v>149</v>
      </c>
      <c r="B120" s="17" t="s">
        <v>397</v>
      </c>
      <c r="C120" s="17" t="s">
        <v>279</v>
      </c>
      <c r="D120" s="17" t="s">
        <v>280</v>
      </c>
      <c r="E120" s="18" t="s">
        <v>280</v>
      </c>
    </row>
    <row r="121" spans="1:5" ht="85.5">
      <c r="A121" s="19" t="s">
        <v>150</v>
      </c>
      <c r="B121" s="17" t="s">
        <v>398</v>
      </c>
      <c r="C121" s="17" t="s">
        <v>279</v>
      </c>
      <c r="D121" s="17" t="s">
        <v>280</v>
      </c>
      <c r="E121" s="18" t="s">
        <v>280</v>
      </c>
    </row>
    <row r="122" spans="1:5" ht="71.25">
      <c r="A122" s="19" t="s">
        <v>151</v>
      </c>
      <c r="B122" s="17" t="s">
        <v>399</v>
      </c>
      <c r="C122" s="17" t="s">
        <v>279</v>
      </c>
      <c r="D122" s="17" t="s">
        <v>280</v>
      </c>
      <c r="E122" s="18" t="s">
        <v>280</v>
      </c>
    </row>
    <row r="123" spans="1:5" ht="85.5">
      <c r="A123" s="19" t="s">
        <v>152</v>
      </c>
      <c r="B123" s="17" t="s">
        <v>400</v>
      </c>
      <c r="C123" s="17" t="s">
        <v>279</v>
      </c>
      <c r="D123" s="17" t="s">
        <v>280</v>
      </c>
      <c r="E123" s="18" t="s">
        <v>280</v>
      </c>
    </row>
    <row r="124" spans="1:5" ht="85.5">
      <c r="A124" s="19" t="s">
        <v>153</v>
      </c>
      <c r="B124" s="17"/>
      <c r="C124" s="17" t="s">
        <v>279</v>
      </c>
      <c r="D124" s="17" t="s">
        <v>280</v>
      </c>
      <c r="E124" s="18" t="s">
        <v>280</v>
      </c>
    </row>
    <row r="125" spans="1:5" ht="85.5">
      <c r="A125" s="19" t="s">
        <v>154</v>
      </c>
      <c r="B125" s="17" t="s">
        <v>401</v>
      </c>
      <c r="C125" s="17" t="s">
        <v>279</v>
      </c>
      <c r="D125" s="17" t="s">
        <v>280</v>
      </c>
      <c r="E125" s="18" t="s">
        <v>280</v>
      </c>
    </row>
    <row r="126" spans="1:5" ht="85.5">
      <c r="A126" s="19" t="s">
        <v>155</v>
      </c>
      <c r="B126" s="17"/>
      <c r="C126" s="17" t="s">
        <v>279</v>
      </c>
      <c r="D126" s="17" t="s">
        <v>280</v>
      </c>
      <c r="E126" s="18" t="s">
        <v>280</v>
      </c>
    </row>
    <row r="127" spans="1:5" ht="71.25">
      <c r="A127" s="19" t="s">
        <v>156</v>
      </c>
      <c r="B127" s="17" t="s">
        <v>402</v>
      </c>
      <c r="C127" s="17" t="s">
        <v>279</v>
      </c>
      <c r="D127" s="17" t="s">
        <v>280</v>
      </c>
      <c r="E127" s="18" t="s">
        <v>280</v>
      </c>
    </row>
    <row r="128" spans="1:5" ht="71.25">
      <c r="A128" s="19" t="s">
        <v>157</v>
      </c>
      <c r="B128" s="17" t="s">
        <v>403</v>
      </c>
      <c r="C128" s="17" t="s">
        <v>279</v>
      </c>
      <c r="D128" s="17" t="s">
        <v>280</v>
      </c>
      <c r="E128" s="18" t="s">
        <v>280</v>
      </c>
    </row>
    <row r="129" spans="1:5" ht="85.5">
      <c r="A129" s="19" t="s">
        <v>158</v>
      </c>
      <c r="B129" s="17" t="s">
        <v>404</v>
      </c>
      <c r="C129" s="17" t="s">
        <v>279</v>
      </c>
      <c r="D129" s="17" t="s">
        <v>280</v>
      </c>
      <c r="E129" s="18" t="s">
        <v>280</v>
      </c>
    </row>
    <row r="130" spans="1:5" ht="85.5">
      <c r="A130" s="19" t="s">
        <v>159</v>
      </c>
      <c r="B130" s="17" t="s">
        <v>405</v>
      </c>
      <c r="C130" s="17" t="s">
        <v>279</v>
      </c>
      <c r="D130" s="17" t="s">
        <v>280</v>
      </c>
      <c r="E130" s="18" t="s">
        <v>280</v>
      </c>
    </row>
    <row r="131" spans="1:5" ht="85.5">
      <c r="A131" s="19" t="s">
        <v>160</v>
      </c>
      <c r="B131" s="17" t="s">
        <v>406</v>
      </c>
      <c r="C131" s="17" t="s">
        <v>279</v>
      </c>
      <c r="D131" s="17" t="s">
        <v>280</v>
      </c>
      <c r="E131" s="18" t="s">
        <v>280</v>
      </c>
    </row>
    <row r="132" spans="1:5" ht="85.5">
      <c r="A132" s="19" t="s">
        <v>161</v>
      </c>
      <c r="B132" s="17" t="s">
        <v>407</v>
      </c>
      <c r="C132" s="17" t="s">
        <v>279</v>
      </c>
      <c r="D132" s="17" t="s">
        <v>280</v>
      </c>
      <c r="E132" s="18" t="s">
        <v>280</v>
      </c>
    </row>
    <row r="133" spans="1:5" ht="71.25">
      <c r="A133" s="19" t="s">
        <v>162</v>
      </c>
      <c r="B133" s="17" t="s">
        <v>408</v>
      </c>
      <c r="C133" s="17" t="s">
        <v>279</v>
      </c>
      <c r="D133" s="17" t="s">
        <v>280</v>
      </c>
      <c r="E133" s="18" t="s">
        <v>280</v>
      </c>
    </row>
    <row r="134" spans="1:5" ht="85.5">
      <c r="A134" s="19" t="s">
        <v>163</v>
      </c>
      <c r="B134" s="17" t="s">
        <v>409</v>
      </c>
      <c r="C134" s="17" t="s">
        <v>279</v>
      </c>
      <c r="D134" s="17" t="s">
        <v>280</v>
      </c>
      <c r="E134" s="18" t="s">
        <v>280</v>
      </c>
    </row>
    <row r="135" spans="1:5" ht="85.5">
      <c r="A135" s="19" t="s">
        <v>164</v>
      </c>
      <c r="B135" s="17" t="s">
        <v>410</v>
      </c>
      <c r="C135" s="17" t="s">
        <v>279</v>
      </c>
      <c r="D135" s="17" t="s">
        <v>280</v>
      </c>
      <c r="E135" s="18" t="s">
        <v>280</v>
      </c>
    </row>
    <row r="136" spans="1:5" ht="71.25">
      <c r="A136" s="19" t="s">
        <v>165</v>
      </c>
      <c r="B136" s="17" t="s">
        <v>411</v>
      </c>
      <c r="C136" s="17" t="s">
        <v>279</v>
      </c>
      <c r="D136" s="17" t="s">
        <v>280</v>
      </c>
      <c r="E136" s="18" t="s">
        <v>280</v>
      </c>
    </row>
    <row r="137" spans="1:5">
      <c r="A137" s="19" t="s">
        <v>164</v>
      </c>
      <c r="B137" s="17" t="s">
        <v>410</v>
      </c>
      <c r="C137" s="17" t="s">
        <v>279</v>
      </c>
      <c r="D137" s="17" t="s">
        <v>280</v>
      </c>
      <c r="E137" s="18" t="s">
        <v>280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B794E-3421-4659-AEEB-D64924D4A79C}">
  <dimension ref="A1:F29"/>
  <sheetViews>
    <sheetView workbookViewId="0">
      <pane xSplit="1" topLeftCell="E1" activePane="topRight" state="frozen"/>
      <selection pane="topRight" activeCell="F2" sqref="F2"/>
    </sheetView>
  </sheetViews>
  <sheetFormatPr defaultRowHeight="15"/>
  <cols>
    <col min="1" max="1" width="30.7109375" bestFit="1" customWidth="1"/>
    <col min="2" max="2" width="89.28515625" bestFit="1" customWidth="1"/>
    <col min="3" max="3" width="27" bestFit="1" customWidth="1"/>
    <col min="4" max="4" width="36.42578125" bestFit="1" customWidth="1"/>
    <col min="5" max="5" width="68.7109375" bestFit="1" customWidth="1"/>
    <col min="6" max="6" width="59.5703125" style="8" customWidth="1"/>
  </cols>
  <sheetData>
    <row r="1" spans="1:6" ht="21">
      <c r="A1" s="7" t="s">
        <v>166</v>
      </c>
      <c r="B1" s="7" t="s">
        <v>167</v>
      </c>
      <c r="C1" s="7" t="s">
        <v>168</v>
      </c>
      <c r="D1" s="7" t="s">
        <v>169</v>
      </c>
      <c r="E1" s="7" t="s">
        <v>170</v>
      </c>
      <c r="F1" s="5" t="s">
        <v>198</v>
      </c>
    </row>
    <row r="2" spans="1:6" ht="75">
      <c r="A2" s="4" t="s">
        <v>171</v>
      </c>
      <c r="B2" s="4" t="s">
        <v>199</v>
      </c>
      <c r="C2" s="4" t="s">
        <v>0</v>
      </c>
      <c r="D2" s="4" t="s">
        <v>231</v>
      </c>
      <c r="E2" s="4" t="s">
        <v>18</v>
      </c>
      <c r="F2" s="2" t="s">
        <v>233</v>
      </c>
    </row>
    <row r="3" spans="1:6" ht="75">
      <c r="A3" s="4" t="s">
        <v>172</v>
      </c>
      <c r="B3" s="4" t="s">
        <v>200</v>
      </c>
      <c r="C3" s="4" t="s">
        <v>0</v>
      </c>
      <c r="D3" s="4" t="s">
        <v>231</v>
      </c>
      <c r="E3" s="4" t="s">
        <v>19</v>
      </c>
      <c r="F3" s="2" t="s">
        <v>234</v>
      </c>
    </row>
    <row r="4" spans="1:6" ht="75">
      <c r="A4" s="4" t="s">
        <v>173</v>
      </c>
      <c r="B4" s="4" t="s">
        <v>201</v>
      </c>
      <c r="C4" s="4" t="s">
        <v>0</v>
      </c>
      <c r="D4" s="4" t="s">
        <v>231</v>
      </c>
      <c r="E4" s="4" t="s">
        <v>20</v>
      </c>
      <c r="F4" s="2" t="s">
        <v>235</v>
      </c>
    </row>
    <row r="5" spans="1:6" ht="75">
      <c r="A5" s="4" t="s">
        <v>174</v>
      </c>
      <c r="B5" s="4" t="s">
        <v>202</v>
      </c>
      <c r="C5" s="4" t="s">
        <v>0</v>
      </c>
      <c r="D5" s="4" t="s">
        <v>231</v>
      </c>
      <c r="E5" s="4" t="s">
        <v>21</v>
      </c>
      <c r="F5" s="2" t="s">
        <v>236</v>
      </c>
    </row>
    <row r="6" spans="1:6" ht="75">
      <c r="A6" s="4" t="s">
        <v>175</v>
      </c>
      <c r="B6" s="4" t="s">
        <v>203</v>
      </c>
      <c r="C6" s="4" t="s">
        <v>0</v>
      </c>
      <c r="D6" s="4" t="s">
        <v>231</v>
      </c>
      <c r="E6" s="4" t="s">
        <v>22</v>
      </c>
      <c r="F6" s="2" t="s">
        <v>237</v>
      </c>
    </row>
    <row r="7" spans="1:6" ht="75">
      <c r="A7" s="4" t="s">
        <v>176</v>
      </c>
      <c r="B7" s="4" t="s">
        <v>204</v>
      </c>
      <c r="C7" s="4" t="s">
        <v>0</v>
      </c>
      <c r="D7" s="4" t="s">
        <v>231</v>
      </c>
      <c r="E7" s="4" t="s">
        <v>23</v>
      </c>
      <c r="F7" s="2" t="s">
        <v>238</v>
      </c>
    </row>
    <row r="8" spans="1:6" ht="75">
      <c r="A8" s="4" t="s">
        <v>177</v>
      </c>
      <c r="B8" s="4" t="s">
        <v>205</v>
      </c>
      <c r="C8" s="4" t="s">
        <v>0</v>
      </c>
      <c r="D8" s="4" t="s">
        <v>231</v>
      </c>
      <c r="E8" s="4" t="s">
        <v>24</v>
      </c>
      <c r="F8" s="2" t="s">
        <v>239</v>
      </c>
    </row>
    <row r="9" spans="1:6" ht="75">
      <c r="A9" s="4" t="s">
        <v>178</v>
      </c>
      <c r="B9" s="4" t="s">
        <v>206</v>
      </c>
      <c r="C9" s="4" t="s">
        <v>0</v>
      </c>
      <c r="D9" s="4" t="s">
        <v>231</v>
      </c>
      <c r="E9" s="4" t="s">
        <v>25</v>
      </c>
      <c r="F9" s="2" t="s">
        <v>240</v>
      </c>
    </row>
    <row r="10" spans="1:6" ht="75">
      <c r="A10" s="4" t="s">
        <v>179</v>
      </c>
      <c r="B10" s="4" t="s">
        <v>207</v>
      </c>
      <c r="C10" s="4" t="s">
        <v>0</v>
      </c>
      <c r="D10" s="4" t="s">
        <v>231</v>
      </c>
      <c r="E10" s="4" t="s">
        <v>26</v>
      </c>
      <c r="F10" s="2" t="s">
        <v>241</v>
      </c>
    </row>
    <row r="11" spans="1:6" ht="75">
      <c r="A11" s="4" t="s">
        <v>180</v>
      </c>
      <c r="B11" s="4" t="s">
        <v>208</v>
      </c>
      <c r="C11" s="4" t="s">
        <v>0</v>
      </c>
      <c r="D11" s="4" t="s">
        <v>231</v>
      </c>
      <c r="E11" s="4" t="s">
        <v>27</v>
      </c>
      <c r="F11" s="2" t="s">
        <v>242</v>
      </c>
    </row>
    <row r="12" spans="1:6" ht="75">
      <c r="A12" s="4" t="s">
        <v>181</v>
      </c>
      <c r="B12" s="4" t="s">
        <v>209</v>
      </c>
      <c r="C12" s="4" t="s">
        <v>0</v>
      </c>
      <c r="D12" s="4" t="s">
        <v>231</v>
      </c>
      <c r="E12" s="4" t="s">
        <v>28</v>
      </c>
      <c r="F12" s="2" t="s">
        <v>243</v>
      </c>
    </row>
    <row r="13" spans="1:6" ht="75">
      <c r="A13" s="4" t="s">
        <v>182</v>
      </c>
      <c r="B13" s="4" t="s">
        <v>210</v>
      </c>
      <c r="C13" s="4" t="s">
        <v>226</v>
      </c>
      <c r="D13" s="4" t="s">
        <v>231</v>
      </c>
      <c r="E13" s="4" t="s">
        <v>29</v>
      </c>
      <c r="F13" s="2" t="s">
        <v>244</v>
      </c>
    </row>
    <row r="14" spans="1:6" ht="75">
      <c r="A14" s="4" t="s">
        <v>183</v>
      </c>
      <c r="B14" s="4" t="s">
        <v>211</v>
      </c>
      <c r="C14" s="4" t="s">
        <v>226</v>
      </c>
      <c r="D14" s="4" t="s">
        <v>231</v>
      </c>
      <c r="E14" s="4" t="s">
        <v>30</v>
      </c>
      <c r="F14" s="2" t="s">
        <v>245</v>
      </c>
    </row>
    <row r="15" spans="1:6" ht="75">
      <c r="A15" s="4" t="s">
        <v>184</v>
      </c>
      <c r="B15" s="4" t="s">
        <v>212</v>
      </c>
      <c r="C15" s="4" t="s">
        <v>226</v>
      </c>
      <c r="D15" s="4" t="s">
        <v>231</v>
      </c>
      <c r="E15" s="4" t="s">
        <v>227</v>
      </c>
      <c r="F15" s="2" t="s">
        <v>246</v>
      </c>
    </row>
    <row r="16" spans="1:6" ht="75">
      <c r="A16" s="4" t="s">
        <v>185</v>
      </c>
      <c r="B16" s="4" t="s">
        <v>213</v>
      </c>
      <c r="C16" s="4" t="s">
        <v>226</v>
      </c>
      <c r="D16" s="4" t="s">
        <v>231</v>
      </c>
      <c r="E16" s="4" t="s">
        <v>1</v>
      </c>
      <c r="F16" s="2" t="s">
        <v>247</v>
      </c>
    </row>
    <row r="17" spans="1:6" ht="75">
      <c r="A17" s="4" t="s">
        <v>186</v>
      </c>
      <c r="B17" s="4" t="s">
        <v>214</v>
      </c>
      <c r="C17" s="4" t="s">
        <v>226</v>
      </c>
      <c r="D17" s="4" t="s">
        <v>231</v>
      </c>
      <c r="E17" s="4" t="s">
        <v>7</v>
      </c>
      <c r="F17" s="2" t="s">
        <v>248</v>
      </c>
    </row>
    <row r="18" spans="1:6" ht="75">
      <c r="A18" s="4" t="s">
        <v>187</v>
      </c>
      <c r="B18" s="4" t="s">
        <v>215</v>
      </c>
      <c r="C18" s="4" t="s">
        <v>226</v>
      </c>
      <c r="D18" s="4" t="s">
        <v>231</v>
      </c>
      <c r="E18" s="4" t="s">
        <v>10</v>
      </c>
      <c r="F18" s="2" t="s">
        <v>249</v>
      </c>
    </row>
    <row r="19" spans="1:6" ht="75">
      <c r="A19" s="4" t="s">
        <v>188</v>
      </c>
      <c r="B19" s="4" t="s">
        <v>216</v>
      </c>
      <c r="C19" s="4" t="s">
        <v>226</v>
      </c>
      <c r="D19" s="4" t="s">
        <v>231</v>
      </c>
      <c r="E19" s="4" t="s">
        <v>430</v>
      </c>
      <c r="F19" s="2" t="s">
        <v>250</v>
      </c>
    </row>
    <row r="20" spans="1:6" ht="75">
      <c r="A20" s="4" t="s">
        <v>189</v>
      </c>
      <c r="B20" s="4" t="s">
        <v>217</v>
      </c>
      <c r="C20" s="4" t="s">
        <v>226</v>
      </c>
      <c r="D20" s="4" t="s">
        <v>231</v>
      </c>
      <c r="E20" s="4" t="s">
        <v>429</v>
      </c>
      <c r="F20" s="2" t="s">
        <v>251</v>
      </c>
    </row>
    <row r="21" spans="1:6" ht="75">
      <c r="A21" s="4" t="s">
        <v>190</v>
      </c>
      <c r="B21" s="4" t="s">
        <v>218</v>
      </c>
      <c r="C21" s="4" t="s">
        <v>226</v>
      </c>
      <c r="D21" s="4" t="s">
        <v>231</v>
      </c>
      <c r="E21" s="4" t="s">
        <v>11</v>
      </c>
      <c r="F21" s="2" t="s">
        <v>252</v>
      </c>
    </row>
    <row r="22" spans="1:6" ht="75">
      <c r="A22" s="4" t="s">
        <v>191</v>
      </c>
      <c r="B22" s="4" t="s">
        <v>219</v>
      </c>
      <c r="C22" s="4" t="s">
        <v>226</v>
      </c>
      <c r="D22" s="4" t="s">
        <v>231</v>
      </c>
      <c r="E22" s="4" t="s">
        <v>12</v>
      </c>
      <c r="F22" s="2" t="s">
        <v>253</v>
      </c>
    </row>
    <row r="23" spans="1:6" ht="75">
      <c r="A23" s="4" t="s">
        <v>192</v>
      </c>
      <c r="B23" s="4" t="s">
        <v>220</v>
      </c>
      <c r="C23" s="4" t="s">
        <v>226</v>
      </c>
      <c r="D23" s="4" t="s">
        <v>231</v>
      </c>
      <c r="E23" s="4" t="s">
        <v>13</v>
      </c>
      <c r="F23" s="2" t="s">
        <v>254</v>
      </c>
    </row>
    <row r="24" spans="1:6" ht="75">
      <c r="A24" s="4" t="s">
        <v>193</v>
      </c>
      <c r="B24" s="4" t="s">
        <v>221</v>
      </c>
      <c r="C24" s="4" t="s">
        <v>226</v>
      </c>
      <c r="D24" s="4" t="s">
        <v>229</v>
      </c>
      <c r="E24" s="4" t="s">
        <v>14</v>
      </c>
      <c r="F24" s="2" t="s">
        <v>255</v>
      </c>
    </row>
    <row r="25" spans="1:6" ht="75">
      <c r="A25" s="4" t="s">
        <v>194</v>
      </c>
      <c r="B25" s="4" t="s">
        <v>222</v>
      </c>
      <c r="C25" s="4" t="s">
        <v>226</v>
      </c>
      <c r="D25" s="4" t="s">
        <v>231</v>
      </c>
      <c r="E25" s="4" t="s">
        <v>15</v>
      </c>
      <c r="F25" s="2" t="s">
        <v>256</v>
      </c>
    </row>
    <row r="26" spans="1:6" ht="75">
      <c r="A26" s="4" t="s">
        <v>195</v>
      </c>
      <c r="B26" s="4" t="s">
        <v>223</v>
      </c>
      <c r="C26" s="4" t="s">
        <v>226</v>
      </c>
      <c r="D26" s="4" t="s">
        <v>230</v>
      </c>
      <c r="E26" s="4" t="s">
        <v>16</v>
      </c>
      <c r="F26" s="2" t="s">
        <v>257</v>
      </c>
    </row>
    <row r="27" spans="1:6" ht="75">
      <c r="A27" s="4" t="s">
        <v>196</v>
      </c>
      <c r="B27" s="4" t="s">
        <v>224</v>
      </c>
      <c r="C27" s="4" t="s">
        <v>226</v>
      </c>
      <c r="D27" s="4" t="s">
        <v>228</v>
      </c>
      <c r="E27" s="4" t="s">
        <v>2</v>
      </c>
      <c r="F27" s="2" t="s">
        <v>258</v>
      </c>
    </row>
    <row r="28" spans="1:6" ht="75">
      <c r="A28" s="4" t="s">
        <v>197</v>
      </c>
      <c r="B28" s="4" t="s">
        <v>225</v>
      </c>
      <c r="C28" s="4" t="s">
        <v>226</v>
      </c>
      <c r="D28" s="4" t="s">
        <v>231</v>
      </c>
      <c r="E28" s="4" t="s">
        <v>17</v>
      </c>
      <c r="F28" s="2" t="s">
        <v>259</v>
      </c>
    </row>
    <row r="29" spans="1:6">
      <c r="E29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04729-054E-40BA-AFF4-02A2BCB50756}">
  <dimension ref="A1:H4"/>
  <sheetViews>
    <sheetView workbookViewId="0">
      <selection activeCell="F1" sqref="F1"/>
    </sheetView>
  </sheetViews>
  <sheetFormatPr defaultRowHeight="15"/>
  <cols>
    <col min="1" max="1" width="20.42578125" bestFit="1" customWidth="1"/>
    <col min="2" max="2" width="68.28515625" bestFit="1" customWidth="1"/>
    <col min="3" max="3" width="28.28515625" bestFit="1" customWidth="1"/>
    <col min="4" max="4" width="27.7109375" bestFit="1" customWidth="1"/>
    <col min="5" max="5" width="62.85546875" bestFit="1" customWidth="1"/>
    <col min="6" max="6" width="35.28515625" customWidth="1"/>
    <col min="7" max="7" width="14.140625" bestFit="1" customWidth="1"/>
    <col min="8" max="8" width="55.28515625" bestFit="1" customWidth="1"/>
  </cols>
  <sheetData>
    <row r="1" spans="1:8" ht="21">
      <c r="A1" s="16" t="s">
        <v>260</v>
      </c>
      <c r="B1" s="16" t="s">
        <v>261</v>
      </c>
      <c r="C1" s="16" t="s">
        <v>262</v>
      </c>
      <c r="D1" s="16" t="s">
        <v>263</v>
      </c>
      <c r="E1" s="16" t="s">
        <v>264</v>
      </c>
      <c r="F1" s="15" t="s">
        <v>198</v>
      </c>
      <c r="G1" s="10" t="s">
        <v>412</v>
      </c>
      <c r="H1" s="9" t="s">
        <v>413</v>
      </c>
    </row>
    <row r="2" spans="1:8" ht="75">
      <c r="A2" s="11" t="s">
        <v>265</v>
      </c>
      <c r="B2" t="s">
        <v>268</v>
      </c>
      <c r="C2" t="s">
        <v>269</v>
      </c>
      <c r="D2" t="s">
        <v>271</v>
      </c>
      <c r="E2" t="s">
        <v>3</v>
      </c>
      <c r="F2" s="28" t="s">
        <v>273</v>
      </c>
      <c r="G2" t="s">
        <v>4</v>
      </c>
      <c r="H2" t="s">
        <v>5</v>
      </c>
    </row>
    <row r="3" spans="1:8">
      <c r="A3" s="11" t="s">
        <v>266</v>
      </c>
      <c r="B3" t="s">
        <v>267</v>
      </c>
      <c r="C3" t="s">
        <v>270</v>
      </c>
      <c r="D3" t="s">
        <v>272</v>
      </c>
      <c r="E3" t="s">
        <v>6</v>
      </c>
      <c r="F3" s="13" t="s">
        <v>196</v>
      </c>
      <c r="G3" t="s">
        <v>8</v>
      </c>
      <c r="H3" t="s">
        <v>9</v>
      </c>
    </row>
    <row r="4" spans="1:8">
      <c r="F4" s="1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LookUp Sheet</vt:lpstr>
      <vt:lpstr>Formulas</vt:lpstr>
      <vt:lpstr>Datalake</vt:lpstr>
      <vt:lpstr>Base</vt:lpstr>
      <vt:lpstr>Master</vt:lpstr>
      <vt:lpstr>LookUpFinalOption</vt:lpstr>
      <vt:lpstr>TableName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Alapati, Bhanu Prabhath</dc:creator>
  <cp:lastModifiedBy>Alapati, Bhanu Prabhath</cp:lastModifiedBy>
  <dcterms:created xsi:type="dcterms:W3CDTF">2025-02-26T13:15:37Z</dcterms:created>
  <dcterms:modified xsi:type="dcterms:W3CDTF">2025-02-27T15:59:36Z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edd64925-c5cc-4230-a362-534069e7ba3f</vt:lpwstr>
  </property>
</Properties>
</file>